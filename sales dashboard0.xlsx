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hidePivotFieldList="1" defaultThemeVersion="166925"/>
  <mc:AlternateContent xmlns:mc="http://schemas.openxmlformats.org/markup-compatibility/2006">
    <mc:Choice Requires="x15">
      <x15ac:absPath xmlns:x15ac="http://schemas.microsoft.com/office/spreadsheetml/2010/11/ac" url="https://d.docs.live.net/c85a4ea7f8071555/Documents/"/>
    </mc:Choice>
  </mc:AlternateContent>
  <xr:revisionPtr revIDLastSave="24" documentId="8_{208F6FA3-8C49-44F6-BAA4-441E0E89CB8A}" xr6:coauthVersionLast="47" xr6:coauthVersionMax="47" xr10:uidLastSave="{52D91D51-1C59-4822-824D-CE9553B017AE}"/>
  <bookViews>
    <workbookView xWindow="-120" yWindow="-120" windowWidth="20730" windowHeight="11040" xr2:uid="{4AD341EF-BDE3-4984-BFF3-D4B7D8E322C2}"/>
  </bookViews>
  <sheets>
    <sheet name="DashBoard" sheetId="3" r:id="rId1"/>
    <sheet name="Analysis" sheetId="2" r:id="rId2"/>
    <sheet name="SalesDashboardDatasets" sheetId="1" r:id="rId3"/>
  </sheets>
  <definedNames>
    <definedName name="_xlchart.v1.0" hidden="1">Analysis!$D$4:$D$9</definedName>
    <definedName name="_xlchart.v1.1" hidden="1">Analysis!$E$3</definedName>
    <definedName name="_xlchart.v1.2" hidden="1">Analysis!$E$4:$E$9</definedName>
    <definedName name="Slicer_Day">#N/A</definedName>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 l="1"/>
  <c r="E5" i="2"/>
  <c r="E6" i="2"/>
  <c r="E7" i="2"/>
  <c r="E8" i="2"/>
  <c r="E9" i="2"/>
  <c r="D5" i="2"/>
  <c r="D6" i="2"/>
  <c r="D7" i="2"/>
  <c r="D8" i="2"/>
  <c r="D9" i="2"/>
  <c r="D4" i="2"/>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alcChain>
</file>

<file path=xl/sharedStrings.xml><?xml version="1.0" encoding="utf-8"?>
<sst xmlns="http://schemas.openxmlformats.org/spreadsheetml/2006/main" count="2577" uniqueCount="566">
  <si>
    <t>TransactionID</t>
  </si>
  <si>
    <t>ItemName</t>
  </si>
  <si>
    <t>Category</t>
  </si>
  <si>
    <t>Quantity</t>
  </si>
  <si>
    <t>UnitPrice</t>
  </si>
  <si>
    <t>TotalCost</t>
  </si>
  <si>
    <t>PurchaseDate</t>
  </si>
  <si>
    <t>Supplier</t>
  </si>
  <si>
    <t>Buyer</t>
  </si>
  <si>
    <t>TXN001</t>
  </si>
  <si>
    <t>Desk Chair</t>
  </si>
  <si>
    <t>Furniture</t>
  </si>
  <si>
    <t>TechMart Inc.</t>
  </si>
  <si>
    <t>Kelly Joseph</t>
  </si>
  <si>
    <t>TXN002</t>
  </si>
  <si>
    <t>Stapler</t>
  </si>
  <si>
    <t>Office Supplies</t>
  </si>
  <si>
    <t>CloudSoft Corp.</t>
  </si>
  <si>
    <t>TXN003</t>
  </si>
  <si>
    <t>Annual Software License</t>
  </si>
  <si>
    <t>Software</t>
  </si>
  <si>
    <t>TXN004</t>
  </si>
  <si>
    <t>Notepad</t>
  </si>
  <si>
    <t>Stationery</t>
  </si>
  <si>
    <t>FurniWorks Ltd.</t>
  </si>
  <si>
    <t>Luis Holland</t>
  </si>
  <si>
    <t>TXN005</t>
  </si>
  <si>
    <t>Cynthia Jenkins</t>
  </si>
  <si>
    <t>TXN006</t>
  </si>
  <si>
    <t>Printer</t>
  </si>
  <si>
    <t>Electronics</t>
  </si>
  <si>
    <t>Stephanie Bennett</t>
  </si>
  <si>
    <t>TXN007</t>
  </si>
  <si>
    <t>OfficeSupplies Co.</t>
  </si>
  <si>
    <t>Todd James</t>
  </si>
  <si>
    <t>TXN008</t>
  </si>
  <si>
    <t>Aaron Hopkins</t>
  </si>
  <si>
    <t>TXN009</t>
  </si>
  <si>
    <t>Printer Ink</t>
  </si>
  <si>
    <t>Kevin Adams</t>
  </si>
  <si>
    <t>TXN010</t>
  </si>
  <si>
    <t>Whiteboard</t>
  </si>
  <si>
    <t>TXN011</t>
  </si>
  <si>
    <t>QuickDeliver Ltd.</t>
  </si>
  <si>
    <t>TXN012</t>
  </si>
  <si>
    <t>Walter Pena</t>
  </si>
  <si>
    <t>TXN013</t>
  </si>
  <si>
    <t>Jasmine Mcgee</t>
  </si>
  <si>
    <t>TXN014</t>
  </si>
  <si>
    <t>Dawn Padilla</t>
  </si>
  <si>
    <t>TXN015</t>
  </si>
  <si>
    <t>TXN016</t>
  </si>
  <si>
    <t>Monitor</t>
  </si>
  <si>
    <t>TXN017</t>
  </si>
  <si>
    <t>Laptop Bag</t>
  </si>
  <si>
    <t>Accessories</t>
  </si>
  <si>
    <t>Amy Warner</t>
  </si>
  <si>
    <t>TXN018</t>
  </si>
  <si>
    <t>Lisa Parks</t>
  </si>
  <si>
    <t>TXN019</t>
  </si>
  <si>
    <t>Laptop</t>
  </si>
  <si>
    <t>TXN020</t>
  </si>
  <si>
    <t>TXN021</t>
  </si>
  <si>
    <t>TXN022</t>
  </si>
  <si>
    <t>Kayla Hanson</t>
  </si>
  <si>
    <t>TXN023</t>
  </si>
  <si>
    <t>TXN024</t>
  </si>
  <si>
    <t>TXN025</t>
  </si>
  <si>
    <t>TXN026</t>
  </si>
  <si>
    <t>Rebecca Bell</t>
  </si>
  <si>
    <t>TXN027</t>
  </si>
  <si>
    <t>TXN028</t>
  </si>
  <si>
    <t>TXN029</t>
  </si>
  <si>
    <t>TXN030</t>
  </si>
  <si>
    <t>TXN031</t>
  </si>
  <si>
    <t>TXN032</t>
  </si>
  <si>
    <t>TXN033</t>
  </si>
  <si>
    <t>TXN034</t>
  </si>
  <si>
    <t>TXN035</t>
  </si>
  <si>
    <t>Laura White</t>
  </si>
  <si>
    <t>TXN036</t>
  </si>
  <si>
    <t>TXN037</t>
  </si>
  <si>
    <t>TXN038</t>
  </si>
  <si>
    <t>Jessica Hodges</t>
  </si>
  <si>
    <t>TXN039</t>
  </si>
  <si>
    <t>Nicole Clay</t>
  </si>
  <si>
    <t>TXN040</t>
  </si>
  <si>
    <t>TXN041</t>
  </si>
  <si>
    <t>TXN042</t>
  </si>
  <si>
    <t>TXN043</t>
  </si>
  <si>
    <t>TXN044</t>
  </si>
  <si>
    <t>TXN045</t>
  </si>
  <si>
    <t>TXN046</t>
  </si>
  <si>
    <t>TXN047</t>
  </si>
  <si>
    <t>Noah Long</t>
  </si>
  <si>
    <t>TXN048</t>
  </si>
  <si>
    <t>Melissa Mckee</t>
  </si>
  <si>
    <t>TXN049</t>
  </si>
  <si>
    <t>TXN050</t>
  </si>
  <si>
    <t>TXN051</t>
  </si>
  <si>
    <t>TXN052</t>
  </si>
  <si>
    <t>TXN053</t>
  </si>
  <si>
    <t>TXN054</t>
  </si>
  <si>
    <t>TXN055</t>
  </si>
  <si>
    <t>TXN056</t>
  </si>
  <si>
    <t>TXN057</t>
  </si>
  <si>
    <t>TXN058</t>
  </si>
  <si>
    <t>TXN059</t>
  </si>
  <si>
    <t>TXN060</t>
  </si>
  <si>
    <t>TXN061</t>
  </si>
  <si>
    <t>TXN062</t>
  </si>
  <si>
    <t>TXN063</t>
  </si>
  <si>
    <t>TXN064</t>
  </si>
  <si>
    <t>TXN065</t>
  </si>
  <si>
    <t>TXN066</t>
  </si>
  <si>
    <t>TXN067</t>
  </si>
  <si>
    <t>TXN068</t>
  </si>
  <si>
    <t>TXN069</t>
  </si>
  <si>
    <t>TXN070</t>
  </si>
  <si>
    <t>TXN071</t>
  </si>
  <si>
    <t>TXN072</t>
  </si>
  <si>
    <t>TXN073</t>
  </si>
  <si>
    <t>TXN074</t>
  </si>
  <si>
    <t>TXN075</t>
  </si>
  <si>
    <t>TXN076</t>
  </si>
  <si>
    <t>TXN077</t>
  </si>
  <si>
    <t>TXN078</t>
  </si>
  <si>
    <t>TXN079</t>
  </si>
  <si>
    <t>TXN080</t>
  </si>
  <si>
    <t>TXN081</t>
  </si>
  <si>
    <t>TXN082</t>
  </si>
  <si>
    <t>TXN083</t>
  </si>
  <si>
    <t>TXN084</t>
  </si>
  <si>
    <t>Barry Johnson</t>
  </si>
  <si>
    <t>TXN085</t>
  </si>
  <si>
    <t>TXN086</t>
  </si>
  <si>
    <t>TXN087</t>
  </si>
  <si>
    <t>TXN088</t>
  </si>
  <si>
    <t>TXN089</t>
  </si>
  <si>
    <t>TXN090</t>
  </si>
  <si>
    <t>TXN091</t>
  </si>
  <si>
    <t>TXN092</t>
  </si>
  <si>
    <t>TXN093</t>
  </si>
  <si>
    <t>TXN094</t>
  </si>
  <si>
    <t>TXN095</t>
  </si>
  <si>
    <t>TXN096</t>
  </si>
  <si>
    <t>TXN097</t>
  </si>
  <si>
    <t>TXN098</t>
  </si>
  <si>
    <t>TXN099</t>
  </si>
  <si>
    <t>TXN100</t>
  </si>
  <si>
    <t>TXN101</t>
  </si>
  <si>
    <t>TXN102</t>
  </si>
  <si>
    <t>TXN103</t>
  </si>
  <si>
    <t>TXN104</t>
  </si>
  <si>
    <t>TXN105</t>
  </si>
  <si>
    <t>TXN106</t>
  </si>
  <si>
    <t>TXN107</t>
  </si>
  <si>
    <t>TXN108</t>
  </si>
  <si>
    <t>TXN109</t>
  </si>
  <si>
    <t>TXN110</t>
  </si>
  <si>
    <t>TXN111</t>
  </si>
  <si>
    <t>TXN112</t>
  </si>
  <si>
    <t>TXN113</t>
  </si>
  <si>
    <t>TXN114</t>
  </si>
  <si>
    <t>TXN115</t>
  </si>
  <si>
    <t>TXN116</t>
  </si>
  <si>
    <t>TXN117</t>
  </si>
  <si>
    <t>TXN118</t>
  </si>
  <si>
    <t>TXN119</t>
  </si>
  <si>
    <t>TXN120</t>
  </si>
  <si>
    <t>TXN121</t>
  </si>
  <si>
    <t>TXN122</t>
  </si>
  <si>
    <t>TXN123</t>
  </si>
  <si>
    <t>TXN124</t>
  </si>
  <si>
    <t>TXN125</t>
  </si>
  <si>
    <t>TXN126</t>
  </si>
  <si>
    <t>TXN127</t>
  </si>
  <si>
    <t>TXN128</t>
  </si>
  <si>
    <t>TXN129</t>
  </si>
  <si>
    <t>TXN130</t>
  </si>
  <si>
    <t>TXN131</t>
  </si>
  <si>
    <t>TXN132</t>
  </si>
  <si>
    <t>TXN133</t>
  </si>
  <si>
    <t>TXN134</t>
  </si>
  <si>
    <t>TXN135</t>
  </si>
  <si>
    <t>TXN136</t>
  </si>
  <si>
    <t>TXN137</t>
  </si>
  <si>
    <t>TXN138</t>
  </si>
  <si>
    <t>TXN139</t>
  </si>
  <si>
    <t>TXN140</t>
  </si>
  <si>
    <t>TXN141</t>
  </si>
  <si>
    <t>TXN142</t>
  </si>
  <si>
    <t>TXN143</t>
  </si>
  <si>
    <t>TXN144</t>
  </si>
  <si>
    <t>TXN145</t>
  </si>
  <si>
    <t>TXN146</t>
  </si>
  <si>
    <t>TXN147</t>
  </si>
  <si>
    <t>TXN148</t>
  </si>
  <si>
    <t>TXN149</t>
  </si>
  <si>
    <t>TXN150</t>
  </si>
  <si>
    <t>TXN151</t>
  </si>
  <si>
    <t>TXN152</t>
  </si>
  <si>
    <t>TXN153</t>
  </si>
  <si>
    <t>TXN154</t>
  </si>
  <si>
    <t>TXN155</t>
  </si>
  <si>
    <t>TXN156</t>
  </si>
  <si>
    <t>TXN157</t>
  </si>
  <si>
    <t>TXN158</t>
  </si>
  <si>
    <t>TXN159</t>
  </si>
  <si>
    <t>TXN160</t>
  </si>
  <si>
    <t>TXN161</t>
  </si>
  <si>
    <t>TXN162</t>
  </si>
  <si>
    <t>TXN163</t>
  </si>
  <si>
    <t>TXN164</t>
  </si>
  <si>
    <t>TXN165</t>
  </si>
  <si>
    <t>TXN166</t>
  </si>
  <si>
    <t>TXN167</t>
  </si>
  <si>
    <t>TXN168</t>
  </si>
  <si>
    <t>TXN169</t>
  </si>
  <si>
    <t>TXN170</t>
  </si>
  <si>
    <t>TXN171</t>
  </si>
  <si>
    <t>TXN172</t>
  </si>
  <si>
    <t>TXN173</t>
  </si>
  <si>
    <t>TXN174</t>
  </si>
  <si>
    <t>TXN175</t>
  </si>
  <si>
    <t>TXN176</t>
  </si>
  <si>
    <t>TXN177</t>
  </si>
  <si>
    <t>TXN178</t>
  </si>
  <si>
    <t>TXN179</t>
  </si>
  <si>
    <t>TXN180</t>
  </si>
  <si>
    <t>TXN181</t>
  </si>
  <si>
    <t>TXN182</t>
  </si>
  <si>
    <t>TXN183</t>
  </si>
  <si>
    <t>TXN184</t>
  </si>
  <si>
    <t>TXN185</t>
  </si>
  <si>
    <t>TXN186</t>
  </si>
  <si>
    <t>TXN187</t>
  </si>
  <si>
    <t>TXN188</t>
  </si>
  <si>
    <t>TXN189</t>
  </si>
  <si>
    <t>TXN190</t>
  </si>
  <si>
    <t>TXN191</t>
  </si>
  <si>
    <t>TXN192</t>
  </si>
  <si>
    <t>TXN193</t>
  </si>
  <si>
    <t>TXN194</t>
  </si>
  <si>
    <t>TXN195</t>
  </si>
  <si>
    <t>TXN196</t>
  </si>
  <si>
    <t>TXN197</t>
  </si>
  <si>
    <t>TXN198</t>
  </si>
  <si>
    <t>TXN199</t>
  </si>
  <si>
    <t>TXN200</t>
  </si>
  <si>
    <t>TXN201</t>
  </si>
  <si>
    <t>TXN202</t>
  </si>
  <si>
    <t>TXN203</t>
  </si>
  <si>
    <t>TXN204</t>
  </si>
  <si>
    <t>TXN205</t>
  </si>
  <si>
    <t>TXN206</t>
  </si>
  <si>
    <t>TXN207</t>
  </si>
  <si>
    <t>TXN208</t>
  </si>
  <si>
    <t>TXN209</t>
  </si>
  <si>
    <t>TXN210</t>
  </si>
  <si>
    <t>TXN211</t>
  </si>
  <si>
    <t>TXN212</t>
  </si>
  <si>
    <t>TXN213</t>
  </si>
  <si>
    <t>TXN214</t>
  </si>
  <si>
    <t>TXN215</t>
  </si>
  <si>
    <t>TXN216</t>
  </si>
  <si>
    <t>TXN217</t>
  </si>
  <si>
    <t>TXN218</t>
  </si>
  <si>
    <t>TXN219</t>
  </si>
  <si>
    <t>TXN220</t>
  </si>
  <si>
    <t>TXN221</t>
  </si>
  <si>
    <t>TXN222</t>
  </si>
  <si>
    <t>TXN223</t>
  </si>
  <si>
    <t>TXN224</t>
  </si>
  <si>
    <t>TXN225</t>
  </si>
  <si>
    <t>TXN226</t>
  </si>
  <si>
    <t>TXN227</t>
  </si>
  <si>
    <t>TXN228</t>
  </si>
  <si>
    <t>TXN229</t>
  </si>
  <si>
    <t>TXN230</t>
  </si>
  <si>
    <t>TXN231</t>
  </si>
  <si>
    <t>TXN232</t>
  </si>
  <si>
    <t>TXN233</t>
  </si>
  <si>
    <t>TXN234</t>
  </si>
  <si>
    <t>TXN235</t>
  </si>
  <si>
    <t>TXN236</t>
  </si>
  <si>
    <t>TXN237</t>
  </si>
  <si>
    <t>TXN238</t>
  </si>
  <si>
    <t>TXN239</t>
  </si>
  <si>
    <t>TXN240</t>
  </si>
  <si>
    <t>TXN241</t>
  </si>
  <si>
    <t>TXN242</t>
  </si>
  <si>
    <t>TXN243</t>
  </si>
  <si>
    <t>TXN244</t>
  </si>
  <si>
    <t>TXN245</t>
  </si>
  <si>
    <t>TXN246</t>
  </si>
  <si>
    <t>TXN247</t>
  </si>
  <si>
    <t>TXN248</t>
  </si>
  <si>
    <t>TXN249</t>
  </si>
  <si>
    <t>TXN250</t>
  </si>
  <si>
    <t>TXN251</t>
  </si>
  <si>
    <t>TXN252</t>
  </si>
  <si>
    <t>TXN253</t>
  </si>
  <si>
    <t>TXN254</t>
  </si>
  <si>
    <t>TXN255</t>
  </si>
  <si>
    <t>TXN256</t>
  </si>
  <si>
    <t>TXN257</t>
  </si>
  <si>
    <t>TXN258</t>
  </si>
  <si>
    <t>TXN259</t>
  </si>
  <si>
    <t>TXN260</t>
  </si>
  <si>
    <t>TXN261</t>
  </si>
  <si>
    <t>TXN262</t>
  </si>
  <si>
    <t>TXN263</t>
  </si>
  <si>
    <t>TXN264</t>
  </si>
  <si>
    <t>TXN265</t>
  </si>
  <si>
    <t>TXN266</t>
  </si>
  <si>
    <t>TXN267</t>
  </si>
  <si>
    <t>TXN268</t>
  </si>
  <si>
    <t>TXN269</t>
  </si>
  <si>
    <t>TXN270</t>
  </si>
  <si>
    <t>TXN271</t>
  </si>
  <si>
    <t>TXN272</t>
  </si>
  <si>
    <t>TXN273</t>
  </si>
  <si>
    <t>TXN274</t>
  </si>
  <si>
    <t>TXN275</t>
  </si>
  <si>
    <t>TXN276</t>
  </si>
  <si>
    <t>TXN277</t>
  </si>
  <si>
    <t>TXN278</t>
  </si>
  <si>
    <t>TXN279</t>
  </si>
  <si>
    <t>TXN280</t>
  </si>
  <si>
    <t>TXN281</t>
  </si>
  <si>
    <t>TXN282</t>
  </si>
  <si>
    <t>TXN283</t>
  </si>
  <si>
    <t>TXN284</t>
  </si>
  <si>
    <t>TXN285</t>
  </si>
  <si>
    <t>TXN286</t>
  </si>
  <si>
    <t>TXN287</t>
  </si>
  <si>
    <t>TXN288</t>
  </si>
  <si>
    <t>TXN289</t>
  </si>
  <si>
    <t>TXN290</t>
  </si>
  <si>
    <t>TXN291</t>
  </si>
  <si>
    <t>TXN292</t>
  </si>
  <si>
    <t>TXN293</t>
  </si>
  <si>
    <t>TXN294</t>
  </si>
  <si>
    <t>TXN295</t>
  </si>
  <si>
    <t>TXN296</t>
  </si>
  <si>
    <t>TXN297</t>
  </si>
  <si>
    <t>TXN298</t>
  </si>
  <si>
    <t>TXN299</t>
  </si>
  <si>
    <t>TXN300</t>
  </si>
  <si>
    <t>TXN301</t>
  </si>
  <si>
    <t>TXN302</t>
  </si>
  <si>
    <t>TXN303</t>
  </si>
  <si>
    <t>TXN304</t>
  </si>
  <si>
    <t>TXN305</t>
  </si>
  <si>
    <t>TXN306</t>
  </si>
  <si>
    <t>TXN307</t>
  </si>
  <si>
    <t>TXN308</t>
  </si>
  <si>
    <t>TXN309</t>
  </si>
  <si>
    <t>TXN310</t>
  </si>
  <si>
    <t>TXN311</t>
  </si>
  <si>
    <t>TXN312</t>
  </si>
  <si>
    <t>TXN313</t>
  </si>
  <si>
    <t>TXN314</t>
  </si>
  <si>
    <t>TXN315</t>
  </si>
  <si>
    <t>TXN316</t>
  </si>
  <si>
    <t>TXN317</t>
  </si>
  <si>
    <t>TXN318</t>
  </si>
  <si>
    <t>TXN319</t>
  </si>
  <si>
    <t>TXN320</t>
  </si>
  <si>
    <t>TXN321</t>
  </si>
  <si>
    <t>TXN322</t>
  </si>
  <si>
    <t>TXN323</t>
  </si>
  <si>
    <t>TXN324</t>
  </si>
  <si>
    <t>TXN325</t>
  </si>
  <si>
    <t>TXN326</t>
  </si>
  <si>
    <t>TXN327</t>
  </si>
  <si>
    <t>TXN328</t>
  </si>
  <si>
    <t>TXN329</t>
  </si>
  <si>
    <t>TXN330</t>
  </si>
  <si>
    <t>TXN331</t>
  </si>
  <si>
    <t>TXN332</t>
  </si>
  <si>
    <t>TXN333</t>
  </si>
  <si>
    <t>TXN334</t>
  </si>
  <si>
    <t>TXN335</t>
  </si>
  <si>
    <t>TXN336</t>
  </si>
  <si>
    <t>TXN337</t>
  </si>
  <si>
    <t>TXN338</t>
  </si>
  <si>
    <t>TXN339</t>
  </si>
  <si>
    <t>TXN340</t>
  </si>
  <si>
    <t>TXN341</t>
  </si>
  <si>
    <t>TXN342</t>
  </si>
  <si>
    <t>TXN343</t>
  </si>
  <si>
    <t>TXN344</t>
  </si>
  <si>
    <t>TXN345</t>
  </si>
  <si>
    <t>TXN346</t>
  </si>
  <si>
    <t>TXN347</t>
  </si>
  <si>
    <t>TXN348</t>
  </si>
  <si>
    <t>TXN349</t>
  </si>
  <si>
    <t>TXN350</t>
  </si>
  <si>
    <t>TXN351</t>
  </si>
  <si>
    <t>TXN352</t>
  </si>
  <si>
    <t>TXN353</t>
  </si>
  <si>
    <t>TXN354</t>
  </si>
  <si>
    <t>TXN355</t>
  </si>
  <si>
    <t>TXN356</t>
  </si>
  <si>
    <t>TXN357</t>
  </si>
  <si>
    <t>TXN358</t>
  </si>
  <si>
    <t>TXN359</t>
  </si>
  <si>
    <t>TXN360</t>
  </si>
  <si>
    <t>TXN361</t>
  </si>
  <si>
    <t>TXN362</t>
  </si>
  <si>
    <t>TXN363</t>
  </si>
  <si>
    <t>TXN364</t>
  </si>
  <si>
    <t>TXN365</t>
  </si>
  <si>
    <t>TXN366</t>
  </si>
  <si>
    <t>TXN367</t>
  </si>
  <si>
    <t>TXN368</t>
  </si>
  <si>
    <t>TXN369</t>
  </si>
  <si>
    <t>TXN370</t>
  </si>
  <si>
    <t>TXN371</t>
  </si>
  <si>
    <t>TXN372</t>
  </si>
  <si>
    <t>TXN373</t>
  </si>
  <si>
    <t>TXN374</t>
  </si>
  <si>
    <t>TXN375</t>
  </si>
  <si>
    <t>TXN376</t>
  </si>
  <si>
    <t>TXN377</t>
  </si>
  <si>
    <t>TXN378</t>
  </si>
  <si>
    <t>TXN379</t>
  </si>
  <si>
    <t>TXN380</t>
  </si>
  <si>
    <t>TXN381</t>
  </si>
  <si>
    <t>TXN382</t>
  </si>
  <si>
    <t>TXN383</t>
  </si>
  <si>
    <t>TXN384</t>
  </si>
  <si>
    <t>TXN385</t>
  </si>
  <si>
    <t>TXN386</t>
  </si>
  <si>
    <t>TXN387</t>
  </si>
  <si>
    <t>TXN388</t>
  </si>
  <si>
    <t>TXN389</t>
  </si>
  <si>
    <t>TXN390</t>
  </si>
  <si>
    <t>TXN391</t>
  </si>
  <si>
    <t>TXN392</t>
  </si>
  <si>
    <t>TXN393</t>
  </si>
  <si>
    <t>TXN394</t>
  </si>
  <si>
    <t>TXN395</t>
  </si>
  <si>
    <t>TXN396</t>
  </si>
  <si>
    <t>TXN397</t>
  </si>
  <si>
    <t>TXN398</t>
  </si>
  <si>
    <t>TXN399</t>
  </si>
  <si>
    <t>TXN400</t>
  </si>
  <si>
    <t>TXN401</t>
  </si>
  <si>
    <t>TXN402</t>
  </si>
  <si>
    <t>TXN403</t>
  </si>
  <si>
    <t>TXN404</t>
  </si>
  <si>
    <t>TXN405</t>
  </si>
  <si>
    <t>TXN406</t>
  </si>
  <si>
    <t>TXN407</t>
  </si>
  <si>
    <t>TXN408</t>
  </si>
  <si>
    <t>TXN409</t>
  </si>
  <si>
    <t>TXN410</t>
  </si>
  <si>
    <t>TXN411</t>
  </si>
  <si>
    <t>TXN412</t>
  </si>
  <si>
    <t>TXN413</t>
  </si>
  <si>
    <t>TXN414</t>
  </si>
  <si>
    <t>TXN415</t>
  </si>
  <si>
    <t>TXN416</t>
  </si>
  <si>
    <t>TXN417</t>
  </si>
  <si>
    <t>TXN418</t>
  </si>
  <si>
    <t>TXN419</t>
  </si>
  <si>
    <t>TXN420</t>
  </si>
  <si>
    <t>TXN421</t>
  </si>
  <si>
    <t>TXN422</t>
  </si>
  <si>
    <t>TXN423</t>
  </si>
  <si>
    <t>TXN424</t>
  </si>
  <si>
    <t>TXN425</t>
  </si>
  <si>
    <t>TXN426</t>
  </si>
  <si>
    <t>TXN427</t>
  </si>
  <si>
    <t>TXN428</t>
  </si>
  <si>
    <t>TXN429</t>
  </si>
  <si>
    <t>TXN430</t>
  </si>
  <si>
    <t>TXN431</t>
  </si>
  <si>
    <t>TXN432</t>
  </si>
  <si>
    <t>TXN433</t>
  </si>
  <si>
    <t>TXN434</t>
  </si>
  <si>
    <t>TXN435</t>
  </si>
  <si>
    <t>TXN436</t>
  </si>
  <si>
    <t>TXN437</t>
  </si>
  <si>
    <t>TXN438</t>
  </si>
  <si>
    <t>TXN439</t>
  </si>
  <si>
    <t>TXN440</t>
  </si>
  <si>
    <t>TXN441</t>
  </si>
  <si>
    <t>TXN442</t>
  </si>
  <si>
    <t>TXN443</t>
  </si>
  <si>
    <t>TXN444</t>
  </si>
  <si>
    <t>TXN445</t>
  </si>
  <si>
    <t>TXN446</t>
  </si>
  <si>
    <t>TXN447</t>
  </si>
  <si>
    <t>TXN448</t>
  </si>
  <si>
    <t>TXN449</t>
  </si>
  <si>
    <t>TXN450</t>
  </si>
  <si>
    <t>TXN451</t>
  </si>
  <si>
    <t>TXN452</t>
  </si>
  <si>
    <t>TXN453</t>
  </si>
  <si>
    <t>TXN454</t>
  </si>
  <si>
    <t>TXN455</t>
  </si>
  <si>
    <t>TXN456</t>
  </si>
  <si>
    <t>TXN457</t>
  </si>
  <si>
    <t>TXN458</t>
  </si>
  <si>
    <t>TXN459</t>
  </si>
  <si>
    <t>TXN460</t>
  </si>
  <si>
    <t>TXN461</t>
  </si>
  <si>
    <t>TXN462</t>
  </si>
  <si>
    <t>TXN463</t>
  </si>
  <si>
    <t>TXN464</t>
  </si>
  <si>
    <t>TXN465</t>
  </si>
  <si>
    <t>TXN466</t>
  </si>
  <si>
    <t>TXN467</t>
  </si>
  <si>
    <t>TXN468</t>
  </si>
  <si>
    <t>TXN469</t>
  </si>
  <si>
    <t>TXN470</t>
  </si>
  <si>
    <t>TXN471</t>
  </si>
  <si>
    <t>TXN472</t>
  </si>
  <si>
    <t>TXN473</t>
  </si>
  <si>
    <t>TXN474</t>
  </si>
  <si>
    <t>TXN475</t>
  </si>
  <si>
    <t>TXN476</t>
  </si>
  <si>
    <t>TXN477</t>
  </si>
  <si>
    <t>TXN478</t>
  </si>
  <si>
    <t>TXN479</t>
  </si>
  <si>
    <t>TXN480</t>
  </si>
  <si>
    <t>TXN481</t>
  </si>
  <si>
    <t>TXN482</t>
  </si>
  <si>
    <t>TXN483</t>
  </si>
  <si>
    <t>TXN484</t>
  </si>
  <si>
    <t>TXN485</t>
  </si>
  <si>
    <t>TXN486</t>
  </si>
  <si>
    <t>TXN487</t>
  </si>
  <si>
    <t>TXN488</t>
  </si>
  <si>
    <t>TXN489</t>
  </si>
  <si>
    <t>TXN490</t>
  </si>
  <si>
    <t>TXN491</t>
  </si>
  <si>
    <t>TXN492</t>
  </si>
  <si>
    <t>TXN493</t>
  </si>
  <si>
    <t>TXN494</t>
  </si>
  <si>
    <t>TXN495</t>
  </si>
  <si>
    <t>TXN496</t>
  </si>
  <si>
    <t>TXN497</t>
  </si>
  <si>
    <t>TXN498</t>
  </si>
  <si>
    <t>TXN499</t>
  </si>
  <si>
    <t>TXN500</t>
  </si>
  <si>
    <t>Day</t>
  </si>
  <si>
    <t>Month</t>
  </si>
  <si>
    <t>Sum of TotalCost</t>
  </si>
  <si>
    <t>Sum of Quantity</t>
  </si>
  <si>
    <t>Suppliers</t>
  </si>
  <si>
    <t xml:space="preserve"> Total_Cost</t>
  </si>
  <si>
    <t>Categories</t>
  </si>
  <si>
    <t>Total Items</t>
  </si>
  <si>
    <t>Items</t>
  </si>
  <si>
    <t>Total Quantity</t>
  </si>
  <si>
    <t>Buyers</t>
  </si>
  <si>
    <t>Total__Cost</t>
  </si>
  <si>
    <t xml:space="preserve"> Total_Quantity</t>
  </si>
  <si>
    <t>Total_CosT</t>
  </si>
  <si>
    <t>Count of ItemName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</si>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</sst>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K&quot;"/>
    <numFmt numFmtId="165" formatCode="0.00,,&quot;M&quot;"/>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b/>
      <sz val="11"/>
      <color theme="1"/>
      <name val="Arial Narrow"/>
      <family val="2"/>
    </font>
  </fonts>
  <fills count="3">
    <fill>
      <patternFill patternType="none"/>
    </fill>
    <fill>
      <patternFill patternType="gray125"/>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1">
    <xf numFmtId="0" fontId="0" fillId="0" borderId="0" xfId="0"/>
    <xf numFmtId="0" fontId="1" fillId="0" borderId="5" xfId="0" applyFont="1" applyBorder="1" applyAlignment="1">
      <alignment horizontal="center" vertical="center"/>
    </xf>
    <xf numFmtId="0" fontId="1" fillId="0" borderId="1" xfId="0" applyFont="1" applyBorder="1" applyAlignment="1">
      <alignment horizontal="center" vertical="center"/>
    </xf>
    <xf numFmtId="14" fontId="3" fillId="0" borderId="1" xfId="0" applyNumberFormat="1"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14" fontId="3" fillId="0" borderId="8" xfId="0" applyNumberFormat="1" applyFont="1" applyBorder="1" applyAlignment="1">
      <alignment horizontal="center" vertical="center"/>
    </xf>
    <xf numFmtId="0" fontId="1" fillId="0" borderId="9"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0" xfId="0" pivotButton="1"/>
    <xf numFmtId="0" fontId="0" fillId="0" borderId="0" xfId="0" applyAlignment="1">
      <alignment horizontal="left"/>
    </xf>
    <xf numFmtId="0" fontId="0" fillId="2" borderId="0" xfId="0" applyFill="1"/>
    <xf numFmtId="0" fontId="4" fillId="2" borderId="0" xfId="0" applyFont="1" applyFill="1" applyAlignment="1">
      <alignment vertical="center"/>
    </xf>
    <xf numFmtId="165" fontId="0" fillId="0" borderId="0" xfId="0" applyNumberFormat="1"/>
    <xf numFmtId="164" fontId="0" fillId="0" borderId="0" xfId="0" applyNumberFormat="1"/>
  </cellXfs>
  <cellStyles count="1">
    <cellStyle name="Normal" xfId="0" builtinId="0"/>
  </cellStyles>
  <dxfs count="23">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bottom style="thin">
          <color indexed="64"/>
        </bottom>
      </border>
    </dxf>
    <dxf>
      <font>
        <b/>
      </font>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164" formatCode="0.0,&quot;K&quot;"/>
    </dxf>
    <dxf>
      <numFmt numFmtId="165" formatCode="0.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dashboard22.xlsx]Analysis!PivotTable4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baseline="0">
                <a:solidFill>
                  <a:schemeClr val="tx1"/>
                </a:solidFill>
                <a:latin typeface="+mn-lt"/>
              </a:rPr>
              <a:t>Quantity Purchased by item</a:t>
            </a:r>
            <a:endParaRPr lang="en-US" b="1">
              <a:solidFill>
                <a:schemeClr val="tx1"/>
              </a:solidFill>
              <a:latin typeface="+mn-l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428715263793791E-2"/>
          <c:y val="0.18458491348577227"/>
          <c:w val="0.9185712847362062"/>
          <c:h val="0.55499703294414471"/>
        </c:manualLayout>
      </c:layout>
      <c:lineChart>
        <c:grouping val="standard"/>
        <c:varyColors val="0"/>
        <c:ser>
          <c:idx val="0"/>
          <c:order val="0"/>
          <c:tx>
            <c:strRef>
              <c:f>Analysis!$N$3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Analysis!$M$4:$M$13</c:f>
              <c:strCache>
                <c:ptCount val="10"/>
                <c:pt idx="0">
                  <c:v>Annual Software License</c:v>
                </c:pt>
                <c:pt idx="1">
                  <c:v>Desk Chair</c:v>
                </c:pt>
                <c:pt idx="2">
                  <c:v>Laptop</c:v>
                </c:pt>
                <c:pt idx="3">
                  <c:v>Laptop Bag</c:v>
                </c:pt>
                <c:pt idx="4">
                  <c:v>Monitor</c:v>
                </c:pt>
                <c:pt idx="5">
                  <c:v>Notepad</c:v>
                </c:pt>
                <c:pt idx="6">
                  <c:v>Printer</c:v>
                </c:pt>
                <c:pt idx="7">
                  <c:v>Printer Ink</c:v>
                </c:pt>
                <c:pt idx="8">
                  <c:v>Stapler</c:v>
                </c:pt>
                <c:pt idx="9">
                  <c:v>Whiteboard</c:v>
                </c:pt>
              </c:strCache>
            </c:strRef>
          </c:cat>
          <c:val>
            <c:numRef>
              <c:f>Analysis!$N$4:$N$13</c:f>
              <c:numCache>
                <c:formatCode>General</c:formatCode>
                <c:ptCount val="10"/>
                <c:pt idx="0">
                  <c:v>46</c:v>
                </c:pt>
                <c:pt idx="1">
                  <c:v>623</c:v>
                </c:pt>
                <c:pt idx="2">
                  <c:v>532</c:v>
                </c:pt>
                <c:pt idx="3">
                  <c:v>652</c:v>
                </c:pt>
                <c:pt idx="4">
                  <c:v>459</c:v>
                </c:pt>
                <c:pt idx="5">
                  <c:v>513</c:v>
                </c:pt>
                <c:pt idx="6">
                  <c:v>440</c:v>
                </c:pt>
                <c:pt idx="7">
                  <c:v>390</c:v>
                </c:pt>
                <c:pt idx="8">
                  <c:v>622</c:v>
                </c:pt>
                <c:pt idx="9">
                  <c:v>543</c:v>
                </c:pt>
              </c:numCache>
            </c:numRef>
          </c:val>
          <c:smooth val="1"/>
          <c:extLst>
            <c:ext xmlns:c16="http://schemas.microsoft.com/office/drawing/2014/chart" uri="{C3380CC4-5D6E-409C-BE32-E72D297353CC}">
              <c16:uniqueId val="{00000000-CE49-450A-8438-6CDF368EAEAD}"/>
            </c:ext>
          </c:extLst>
        </c:ser>
        <c:dLbls>
          <c:showLegendKey val="0"/>
          <c:showVal val="0"/>
          <c:showCatName val="0"/>
          <c:showSerName val="0"/>
          <c:showPercent val="0"/>
          <c:showBubbleSize val="0"/>
        </c:dLbls>
        <c:marker val="1"/>
        <c:smooth val="0"/>
        <c:axId val="247715823"/>
        <c:axId val="247728719"/>
      </c:lineChart>
      <c:catAx>
        <c:axId val="24771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j-lt"/>
                <a:ea typeface="+mn-ea"/>
                <a:cs typeface="+mn-cs"/>
              </a:defRPr>
            </a:pPr>
            <a:endParaRPr lang="en-US"/>
          </a:p>
        </c:txPr>
        <c:crossAx val="247728719"/>
        <c:crosses val="autoZero"/>
        <c:auto val="1"/>
        <c:lblAlgn val="ctr"/>
        <c:lblOffset val="100"/>
        <c:noMultiLvlLbl val="0"/>
      </c:catAx>
      <c:valAx>
        <c:axId val="247728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j-lt"/>
                <a:ea typeface="+mn-ea"/>
                <a:cs typeface="+mn-cs"/>
              </a:defRPr>
            </a:pPr>
            <a:endParaRPr lang="en-US"/>
          </a:p>
        </c:txPr>
        <c:crossAx val="247715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dashboard22.xlsx]Analysis!PivotTable3</c:name>
    <c:fmtId val="2"/>
  </c:pivotSource>
  <c:chart>
    <c:title>
      <c:tx>
        <c:rich>
          <a:bodyPr rot="0" spcFirstLastPara="1" vertOverflow="ellipsis" vert="horz" wrap="square" anchor="ctr" anchorCtr="1"/>
          <a:lstStyle/>
          <a:p>
            <a:pPr>
              <a:defRPr sz="1400" b="1" i="0" u="none" strike="noStrike" kern="1200" cap="none" spc="50" normalizeH="0" baseline="0">
                <a:solidFill>
                  <a:schemeClr val="tx1"/>
                </a:solidFill>
                <a:latin typeface="+mn-lt"/>
                <a:ea typeface="+mj-ea"/>
                <a:cs typeface="+mj-cs"/>
              </a:defRPr>
            </a:pPr>
            <a:r>
              <a:rPr lang="en-US" sz="1400" b="1">
                <a:solidFill>
                  <a:schemeClr val="tx1"/>
                </a:solidFill>
                <a:latin typeface="+mn-lt"/>
              </a:rPr>
              <a:t>Purchase by Category</a:t>
            </a:r>
          </a:p>
        </c:rich>
      </c:tx>
      <c:overlay val="0"/>
      <c:spPr>
        <a:noFill/>
        <a:ln>
          <a:noFill/>
        </a:ln>
        <a:effectLst/>
      </c:spPr>
      <c:txPr>
        <a:bodyPr rot="0" spcFirstLastPara="1" vertOverflow="ellipsis" vert="horz" wrap="square" anchor="ctr" anchorCtr="1"/>
        <a:lstStyle/>
        <a:p>
          <a:pPr>
            <a:defRPr sz="1400" b="1" i="0" u="none" strike="noStrike" kern="1200" cap="none" spc="50" normalizeH="0" baseline="0">
              <a:solidFill>
                <a:schemeClr val="tx1"/>
              </a:solidFill>
              <a:latin typeface="+mn-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837691437100972E-2"/>
          <c:y val="0.18156918434927272"/>
          <c:w val="0.91017086924462098"/>
          <c:h val="0.6842875984021608"/>
        </c:manualLayout>
      </c:layout>
      <c:barChart>
        <c:barDir val="col"/>
        <c:grouping val="clustered"/>
        <c:varyColors val="0"/>
        <c:ser>
          <c:idx val="0"/>
          <c:order val="0"/>
          <c:tx>
            <c:strRef>
              <c:f>Analysis!$K$3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trendline>
            <c:spPr>
              <a:ln w="15875" cap="rnd">
                <a:solidFill>
                  <a:schemeClr val="accent1"/>
                </a:solidFill>
              </a:ln>
              <a:effectLst/>
            </c:spPr>
            <c:trendlineType val="linear"/>
            <c:dispRSqr val="0"/>
            <c:dispEq val="0"/>
          </c:trendline>
          <c:cat>
            <c:strRef>
              <c:f>Analysis!$J$4:$J$9</c:f>
              <c:strCache>
                <c:ptCount val="6"/>
                <c:pt idx="0">
                  <c:v>Accessories</c:v>
                </c:pt>
                <c:pt idx="1">
                  <c:v>Electronics</c:v>
                </c:pt>
                <c:pt idx="2">
                  <c:v>Furniture</c:v>
                </c:pt>
                <c:pt idx="3">
                  <c:v>Office Supplies</c:v>
                </c:pt>
                <c:pt idx="4">
                  <c:v>Software</c:v>
                </c:pt>
                <c:pt idx="5">
                  <c:v>Stationery</c:v>
                </c:pt>
              </c:strCache>
            </c:strRef>
          </c:cat>
          <c:val>
            <c:numRef>
              <c:f>Analysis!$K$4:$K$9</c:f>
              <c:numCache>
                <c:formatCode>General</c:formatCode>
                <c:ptCount val="6"/>
                <c:pt idx="0">
                  <c:v>56</c:v>
                </c:pt>
                <c:pt idx="1">
                  <c:v>146</c:v>
                </c:pt>
                <c:pt idx="2">
                  <c:v>102</c:v>
                </c:pt>
                <c:pt idx="3">
                  <c:v>60</c:v>
                </c:pt>
                <c:pt idx="4">
                  <c:v>46</c:v>
                </c:pt>
                <c:pt idx="5">
                  <c:v>90</c:v>
                </c:pt>
              </c:numCache>
            </c:numRef>
          </c:val>
          <c:extLst>
            <c:ext xmlns:c16="http://schemas.microsoft.com/office/drawing/2014/chart" uri="{C3380CC4-5D6E-409C-BE32-E72D297353CC}">
              <c16:uniqueId val="{00000000-388B-44F3-9679-F4D327E42066}"/>
            </c:ext>
          </c:extLst>
        </c:ser>
        <c:dLbls>
          <c:dLblPos val="inEnd"/>
          <c:showLegendKey val="0"/>
          <c:showVal val="1"/>
          <c:showCatName val="0"/>
          <c:showSerName val="0"/>
          <c:showPercent val="0"/>
          <c:showBubbleSize val="0"/>
        </c:dLbls>
        <c:gapWidth val="80"/>
        <c:overlap val="25"/>
        <c:axId val="246852639"/>
        <c:axId val="246855135"/>
      </c:barChart>
      <c:catAx>
        <c:axId val="246852639"/>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cap="none" spc="20" normalizeH="0" baseline="0">
                <a:solidFill>
                  <a:schemeClr val="tx1"/>
                </a:solidFill>
                <a:latin typeface="+mj-lt"/>
                <a:ea typeface="+mn-ea"/>
                <a:cs typeface="+mn-cs"/>
              </a:defRPr>
            </a:pPr>
            <a:endParaRPr lang="en-US"/>
          </a:p>
        </c:txPr>
        <c:crossAx val="246855135"/>
        <c:crosses val="autoZero"/>
        <c:auto val="1"/>
        <c:lblAlgn val="ctr"/>
        <c:lblOffset val="100"/>
        <c:noMultiLvlLbl val="0"/>
      </c:catAx>
      <c:valAx>
        <c:axId val="246855135"/>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spc="20" baseline="0">
                <a:solidFill>
                  <a:schemeClr val="tx1"/>
                </a:solidFill>
                <a:latin typeface="+mj-lt"/>
                <a:ea typeface="+mn-ea"/>
                <a:cs typeface="+mn-cs"/>
              </a:defRPr>
            </a:pPr>
            <a:endParaRPr lang="en-US"/>
          </a:p>
        </c:txPr>
        <c:crossAx val="246852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dashboard22.xlsx]Analysis!PivotTable5</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solidFill>
                  <a:sysClr val="windowText" lastClr="000000"/>
                </a:solidFill>
                <a:latin typeface="+mn-lt"/>
              </a:rPr>
              <a:t>Top</a:t>
            </a:r>
            <a:r>
              <a:rPr lang="en-US" sz="1400" b="1" baseline="0">
                <a:solidFill>
                  <a:sysClr val="windowText" lastClr="000000"/>
                </a:solidFill>
                <a:latin typeface="+mn-lt"/>
              </a:rPr>
              <a:t>  Buyers </a:t>
            </a:r>
            <a:endParaRPr lang="en-US" sz="1400" b="1">
              <a:solidFill>
                <a:sysClr val="windowText" lastClr="000000"/>
              </a:solidFill>
              <a:latin typeface="+mn-lt"/>
            </a:endParaRPr>
          </a:p>
        </c:rich>
      </c:tx>
      <c:layout>
        <c:manualLayout>
          <c:xMode val="edge"/>
          <c:yMode val="edge"/>
          <c:x val="0.42389426448703116"/>
          <c:y val="1.4814820575413853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50472727797943"/>
          <c:y val="0.12027184612495234"/>
          <c:w val="0.75359855460381919"/>
          <c:h val="0.78070760404689576"/>
        </c:manualLayout>
      </c:layout>
      <c:barChart>
        <c:barDir val="bar"/>
        <c:grouping val="clustered"/>
        <c:varyColors val="0"/>
        <c:ser>
          <c:idx val="0"/>
          <c:order val="0"/>
          <c:tx>
            <c:strRef>
              <c:f>Analysis!$Q$3</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Analysis!$P$4:$P$13</c:f>
              <c:strCache>
                <c:ptCount val="10"/>
                <c:pt idx="0">
                  <c:v>Walter Pena</c:v>
                </c:pt>
                <c:pt idx="1">
                  <c:v>Todd James</c:v>
                </c:pt>
                <c:pt idx="2">
                  <c:v>Melissa Mckee</c:v>
                </c:pt>
                <c:pt idx="3">
                  <c:v>Laura White</c:v>
                </c:pt>
                <c:pt idx="4">
                  <c:v>Kelly Joseph</c:v>
                </c:pt>
                <c:pt idx="5">
                  <c:v>Kayla Hanson</c:v>
                </c:pt>
                <c:pt idx="6">
                  <c:v>Jasmine Mcgee</c:v>
                </c:pt>
                <c:pt idx="7">
                  <c:v>Dawn Padilla</c:v>
                </c:pt>
                <c:pt idx="8">
                  <c:v>Barry Johnson</c:v>
                </c:pt>
                <c:pt idx="9">
                  <c:v>Aaron Hopkins</c:v>
                </c:pt>
              </c:strCache>
            </c:strRef>
          </c:cat>
          <c:val>
            <c:numRef>
              <c:f>Analysis!$Q$4:$Q$13</c:f>
              <c:numCache>
                <c:formatCode>General</c:formatCode>
                <c:ptCount val="10"/>
                <c:pt idx="0">
                  <c:v>96418.18</c:v>
                </c:pt>
                <c:pt idx="1">
                  <c:v>69219.240000000005</c:v>
                </c:pt>
                <c:pt idx="2">
                  <c:v>66169.710000000006</c:v>
                </c:pt>
                <c:pt idx="3">
                  <c:v>75235.839999999982</c:v>
                </c:pt>
                <c:pt idx="4">
                  <c:v>76434.12000000001</c:v>
                </c:pt>
                <c:pt idx="5">
                  <c:v>69848.399999999994</c:v>
                </c:pt>
                <c:pt idx="6">
                  <c:v>94185.73</c:v>
                </c:pt>
                <c:pt idx="7">
                  <c:v>76908.12</c:v>
                </c:pt>
                <c:pt idx="8">
                  <c:v>68937.27</c:v>
                </c:pt>
                <c:pt idx="9">
                  <c:v>75865.039999999994</c:v>
                </c:pt>
              </c:numCache>
            </c:numRef>
          </c:val>
          <c:extLst>
            <c:ext xmlns:c16="http://schemas.microsoft.com/office/drawing/2014/chart" uri="{C3380CC4-5D6E-409C-BE32-E72D297353CC}">
              <c16:uniqueId val="{00000000-02EA-4079-8469-EED1D9F30C95}"/>
            </c:ext>
          </c:extLst>
        </c:ser>
        <c:dLbls>
          <c:dLblPos val="outEnd"/>
          <c:showLegendKey val="0"/>
          <c:showVal val="1"/>
          <c:showCatName val="0"/>
          <c:showSerName val="0"/>
          <c:showPercent val="0"/>
          <c:showBubbleSize val="0"/>
        </c:dLbls>
        <c:gapWidth val="182"/>
        <c:axId val="1525769999"/>
        <c:axId val="1525779567"/>
      </c:barChart>
      <c:catAx>
        <c:axId val="1525769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j-lt"/>
                <a:ea typeface="+mn-ea"/>
                <a:cs typeface="+mn-cs"/>
              </a:defRPr>
            </a:pPr>
            <a:endParaRPr lang="en-US"/>
          </a:p>
        </c:txPr>
        <c:crossAx val="1525779567"/>
        <c:crosses val="autoZero"/>
        <c:auto val="1"/>
        <c:lblAlgn val="ctr"/>
        <c:lblOffset val="100"/>
        <c:noMultiLvlLbl val="0"/>
      </c:catAx>
      <c:valAx>
        <c:axId val="1525779567"/>
        <c:scaling>
          <c:orientation val="minMax"/>
        </c:scaling>
        <c:delete val="0"/>
        <c:axPos val="b"/>
        <c:numFmt formatCode="0.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525769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dashboard22.xlsx]Analysis!PivotTable6</c:name>
    <c:fmtId val="2"/>
  </c:pivotSource>
  <c:chart>
    <c:title>
      <c:tx>
        <c:rich>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r>
              <a:rPr lang="en-US"/>
              <a:t>Quantity vs Total Cost</a:t>
            </a:r>
          </a:p>
        </c:rich>
      </c:tx>
      <c:layout>
        <c:manualLayout>
          <c:xMode val="edge"/>
          <c:yMode val="edge"/>
          <c:x val="0.38692452276431394"/>
          <c:y val="7.3633931406765114E-3"/>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711241968015685E-2"/>
          <c:y val="0.16117348590542818"/>
          <c:w val="0.79216290643870091"/>
          <c:h val="0.58621807355811983"/>
        </c:manualLayout>
      </c:layout>
      <c:lineChart>
        <c:grouping val="standard"/>
        <c:varyColors val="0"/>
        <c:ser>
          <c:idx val="0"/>
          <c:order val="0"/>
          <c:tx>
            <c:strRef>
              <c:f>Analysis!$T$3</c:f>
              <c:strCache>
                <c:ptCount val="1"/>
                <c:pt idx="0">
                  <c:v> Total_Quantity</c:v>
                </c:pt>
              </c:strCache>
            </c:strRef>
          </c:tx>
          <c:spPr>
            <a:ln w="28575" cap="rnd">
              <a:solidFill>
                <a:schemeClr val="accent1"/>
              </a:solidFill>
              <a:round/>
            </a:ln>
            <a:effectLst/>
          </c:spPr>
          <c:marker>
            <c:symbol val="none"/>
          </c:marker>
          <c:cat>
            <c:strRef>
              <c:f>Analysis!$S$4:$S$13</c:f>
              <c:strCache>
                <c:ptCount val="10"/>
                <c:pt idx="0">
                  <c:v>Annual Software License</c:v>
                </c:pt>
                <c:pt idx="1">
                  <c:v>Desk Chair</c:v>
                </c:pt>
                <c:pt idx="2">
                  <c:v>Laptop</c:v>
                </c:pt>
                <c:pt idx="3">
                  <c:v>Laptop Bag</c:v>
                </c:pt>
                <c:pt idx="4">
                  <c:v>Monitor</c:v>
                </c:pt>
                <c:pt idx="5">
                  <c:v>Notepad</c:v>
                </c:pt>
                <c:pt idx="6">
                  <c:v>Printer</c:v>
                </c:pt>
                <c:pt idx="7">
                  <c:v>Printer Ink</c:v>
                </c:pt>
                <c:pt idx="8">
                  <c:v>Stapler</c:v>
                </c:pt>
                <c:pt idx="9">
                  <c:v>Whiteboard</c:v>
                </c:pt>
              </c:strCache>
            </c:strRef>
          </c:cat>
          <c:val>
            <c:numRef>
              <c:f>Analysis!$T$4:$T$13</c:f>
              <c:numCache>
                <c:formatCode>General</c:formatCode>
                <c:ptCount val="10"/>
                <c:pt idx="0">
                  <c:v>46</c:v>
                </c:pt>
                <c:pt idx="1">
                  <c:v>623</c:v>
                </c:pt>
                <c:pt idx="2">
                  <c:v>532</c:v>
                </c:pt>
                <c:pt idx="3">
                  <c:v>652</c:v>
                </c:pt>
                <c:pt idx="4">
                  <c:v>459</c:v>
                </c:pt>
                <c:pt idx="5">
                  <c:v>513</c:v>
                </c:pt>
                <c:pt idx="6">
                  <c:v>440</c:v>
                </c:pt>
                <c:pt idx="7">
                  <c:v>390</c:v>
                </c:pt>
                <c:pt idx="8">
                  <c:v>622</c:v>
                </c:pt>
                <c:pt idx="9">
                  <c:v>543</c:v>
                </c:pt>
              </c:numCache>
            </c:numRef>
          </c:val>
          <c:smooth val="0"/>
          <c:extLst>
            <c:ext xmlns:c16="http://schemas.microsoft.com/office/drawing/2014/chart" uri="{C3380CC4-5D6E-409C-BE32-E72D297353CC}">
              <c16:uniqueId val="{00000000-4432-420E-833C-671BC57DCDD1}"/>
            </c:ext>
          </c:extLst>
        </c:ser>
        <c:dLbls>
          <c:showLegendKey val="0"/>
          <c:showVal val="0"/>
          <c:showCatName val="0"/>
          <c:showSerName val="0"/>
          <c:showPercent val="0"/>
          <c:showBubbleSize val="0"/>
        </c:dLbls>
        <c:marker val="1"/>
        <c:smooth val="0"/>
        <c:axId val="1525770831"/>
        <c:axId val="1525773743"/>
      </c:lineChart>
      <c:lineChart>
        <c:grouping val="standard"/>
        <c:varyColors val="0"/>
        <c:ser>
          <c:idx val="1"/>
          <c:order val="1"/>
          <c:tx>
            <c:strRef>
              <c:f>Analysis!$U$3</c:f>
              <c:strCache>
                <c:ptCount val="1"/>
                <c:pt idx="0">
                  <c:v>Total_CosT</c:v>
                </c:pt>
              </c:strCache>
            </c:strRef>
          </c:tx>
          <c:spPr>
            <a:ln w="28575" cap="rnd">
              <a:solidFill>
                <a:schemeClr val="accent2"/>
              </a:solidFill>
              <a:round/>
            </a:ln>
            <a:effectLst/>
          </c:spPr>
          <c:marker>
            <c:symbol val="none"/>
          </c:marker>
          <c:cat>
            <c:strRef>
              <c:f>Analysis!$S$4:$S$13</c:f>
              <c:strCache>
                <c:ptCount val="10"/>
                <c:pt idx="0">
                  <c:v>Annual Software License</c:v>
                </c:pt>
                <c:pt idx="1">
                  <c:v>Desk Chair</c:v>
                </c:pt>
                <c:pt idx="2">
                  <c:v>Laptop</c:v>
                </c:pt>
                <c:pt idx="3">
                  <c:v>Laptop Bag</c:v>
                </c:pt>
                <c:pt idx="4">
                  <c:v>Monitor</c:v>
                </c:pt>
                <c:pt idx="5">
                  <c:v>Notepad</c:v>
                </c:pt>
                <c:pt idx="6">
                  <c:v>Printer</c:v>
                </c:pt>
                <c:pt idx="7">
                  <c:v>Printer Ink</c:v>
                </c:pt>
                <c:pt idx="8">
                  <c:v>Stapler</c:v>
                </c:pt>
                <c:pt idx="9">
                  <c:v>Whiteboard</c:v>
                </c:pt>
              </c:strCache>
            </c:strRef>
          </c:cat>
          <c:val>
            <c:numRef>
              <c:f>Analysis!$U$4:$U$13</c:f>
              <c:numCache>
                <c:formatCode>General</c:formatCode>
                <c:ptCount val="10"/>
                <c:pt idx="0">
                  <c:v>336017.99999999988</c:v>
                </c:pt>
                <c:pt idx="1">
                  <c:v>91857.82</c:v>
                </c:pt>
                <c:pt idx="2">
                  <c:v>472284.81000000006</c:v>
                </c:pt>
                <c:pt idx="3">
                  <c:v>20857.240000000002</c:v>
                </c:pt>
                <c:pt idx="4">
                  <c:v>130072.59000000001</c:v>
                </c:pt>
                <c:pt idx="5">
                  <c:v>999.29000000000008</c:v>
                </c:pt>
                <c:pt idx="6">
                  <c:v>95447.829999999973</c:v>
                </c:pt>
                <c:pt idx="7">
                  <c:v>5753.8899999999994</c:v>
                </c:pt>
                <c:pt idx="8">
                  <c:v>6328.2700000000041</c:v>
                </c:pt>
                <c:pt idx="9">
                  <c:v>80960.789999999994</c:v>
                </c:pt>
              </c:numCache>
            </c:numRef>
          </c:val>
          <c:smooth val="0"/>
          <c:extLst>
            <c:ext xmlns:c16="http://schemas.microsoft.com/office/drawing/2014/chart" uri="{C3380CC4-5D6E-409C-BE32-E72D297353CC}">
              <c16:uniqueId val="{00000001-4432-420E-833C-671BC57DCDD1}"/>
            </c:ext>
          </c:extLst>
        </c:ser>
        <c:dLbls>
          <c:showLegendKey val="0"/>
          <c:showVal val="0"/>
          <c:showCatName val="0"/>
          <c:showSerName val="0"/>
          <c:showPercent val="0"/>
          <c:showBubbleSize val="0"/>
        </c:dLbls>
        <c:marker val="1"/>
        <c:smooth val="0"/>
        <c:axId val="1534049631"/>
        <c:axId val="1534048383"/>
      </c:lineChart>
      <c:catAx>
        <c:axId val="1525770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dk1"/>
                </a:solidFill>
                <a:latin typeface="+mj-lt"/>
                <a:ea typeface="+mn-ea"/>
                <a:cs typeface="+mn-cs"/>
              </a:defRPr>
            </a:pPr>
            <a:endParaRPr lang="en-US"/>
          </a:p>
        </c:txPr>
        <c:crossAx val="1525773743"/>
        <c:crosses val="autoZero"/>
        <c:auto val="1"/>
        <c:lblAlgn val="ctr"/>
        <c:lblOffset val="100"/>
        <c:noMultiLvlLbl val="0"/>
      </c:catAx>
      <c:valAx>
        <c:axId val="152577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j-lt"/>
                <a:ea typeface="+mn-ea"/>
                <a:cs typeface="+mn-cs"/>
              </a:defRPr>
            </a:pPr>
            <a:endParaRPr lang="en-US"/>
          </a:p>
        </c:txPr>
        <c:crossAx val="1525770831"/>
        <c:crosses val="autoZero"/>
        <c:crossBetween val="between"/>
      </c:valAx>
      <c:valAx>
        <c:axId val="1534048383"/>
        <c:scaling>
          <c:orientation val="minMax"/>
        </c:scaling>
        <c:delete val="0"/>
        <c:axPos val="r"/>
        <c:numFmt formatCode="0.0,&quot;K&quot;" sourceLinked="0"/>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j-lt"/>
                <a:ea typeface="+mn-ea"/>
                <a:cs typeface="+mn-cs"/>
              </a:defRPr>
            </a:pPr>
            <a:endParaRPr lang="en-US"/>
          </a:p>
        </c:txPr>
        <c:crossAx val="1534049631"/>
        <c:crosses val="max"/>
        <c:crossBetween val="between"/>
      </c:valAx>
      <c:catAx>
        <c:axId val="1534049631"/>
        <c:scaling>
          <c:orientation val="minMax"/>
        </c:scaling>
        <c:delete val="1"/>
        <c:axPos val="b"/>
        <c:numFmt formatCode="General" sourceLinked="1"/>
        <c:majorTickMark val="out"/>
        <c:minorTickMark val="none"/>
        <c:tickLblPos val="nextTo"/>
        <c:crossAx val="1534048383"/>
        <c:crosses val="autoZero"/>
        <c:auto val="1"/>
        <c:lblAlgn val="ctr"/>
        <c:lblOffset val="100"/>
        <c:noMultiLvlLbl val="0"/>
      </c:catAx>
      <c:spPr>
        <a:noFill/>
        <a:ln>
          <a:noFill/>
        </a:ln>
        <a:effectLst/>
      </c:spPr>
    </c:plotArea>
    <c:legend>
      <c:legendPos val="r"/>
      <c:layout>
        <c:manualLayout>
          <c:xMode val="edge"/>
          <c:yMode val="edge"/>
          <c:x val="0"/>
          <c:y val="1.5023940990219102E-2"/>
          <c:w val="0.39331114455386185"/>
          <c:h val="0.1003458926569210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1270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dashboard22.xlsx]Analysis!Supplier</c:name>
    <c:fmtId val="3"/>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 Supplier Contribution  %</a:t>
            </a:r>
          </a:p>
        </c:rich>
      </c:tx>
      <c:layout>
        <c:manualLayout>
          <c:xMode val="edge"/>
          <c:yMode val="edge"/>
          <c:x val="0.2889049041900334"/>
          <c:y val="1.306993592725962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33618487947518194"/>
          <c:y val="0.14688576723507119"/>
          <c:w val="0.37064414654048933"/>
          <c:h val="0.56706281393736635"/>
        </c:manualLayout>
      </c:layout>
      <c:doughnutChart>
        <c:varyColors val="1"/>
        <c:ser>
          <c:idx val="0"/>
          <c:order val="0"/>
          <c:tx>
            <c:strRef>
              <c:f>Analysis!$H$3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199E-4983-8628-43CDFAE7AE1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199E-4983-8628-43CDFAE7AE1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199E-4983-8628-43CDFAE7AE1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199E-4983-8628-43CDFAE7AE1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199E-4983-8628-43CDFAE7AE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Analysis!$G$4:$G$8</c:f>
              <c:strCache>
                <c:ptCount val="5"/>
                <c:pt idx="0">
                  <c:v>CloudSoft Corp.</c:v>
                </c:pt>
                <c:pt idx="1">
                  <c:v>FurniWorks Ltd.</c:v>
                </c:pt>
                <c:pt idx="2">
                  <c:v>OfficeSupplies Co.</c:v>
                </c:pt>
                <c:pt idx="3">
                  <c:v>QuickDeliver Ltd.</c:v>
                </c:pt>
                <c:pt idx="4">
                  <c:v>TechMart Inc.</c:v>
                </c:pt>
              </c:strCache>
            </c:strRef>
          </c:cat>
          <c:val>
            <c:numRef>
              <c:f>Analysis!$H$4:$H$8</c:f>
              <c:numCache>
                <c:formatCode>General</c:formatCode>
                <c:ptCount val="5"/>
                <c:pt idx="0">
                  <c:v>200073.64000000007</c:v>
                </c:pt>
                <c:pt idx="1">
                  <c:v>202810.72000000003</c:v>
                </c:pt>
                <c:pt idx="2">
                  <c:v>223580.85</c:v>
                </c:pt>
                <c:pt idx="3">
                  <c:v>285353.58999999997</c:v>
                </c:pt>
                <c:pt idx="4">
                  <c:v>328761.7300000001</c:v>
                </c:pt>
              </c:numCache>
            </c:numRef>
          </c:val>
          <c:extLst>
            <c:ext xmlns:c16="http://schemas.microsoft.com/office/drawing/2014/chart" uri="{C3380CC4-5D6E-409C-BE32-E72D297353CC}">
              <c16:uniqueId val="{0000000A-199E-4983-8628-43CDFAE7AE1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b"/>
      <c:layout>
        <c:manualLayout>
          <c:xMode val="edge"/>
          <c:yMode val="edge"/>
          <c:x val="3.6362221500027083E-3"/>
          <c:y val="0.76037334033411774"/>
          <c:w val="0.9877582100578618"/>
          <c:h val="0.23962665966588234"/>
        </c:manualLayout>
      </c:layout>
      <c:overlay val="0"/>
      <c:spPr>
        <a:solidFill>
          <a:schemeClr val="lt1">
            <a:alpha val="78000"/>
          </a:schemeClr>
        </a:solidFill>
        <a:ln>
          <a:noFill/>
        </a:ln>
        <a:effectLst/>
      </c:spPr>
      <c:txPr>
        <a:bodyPr rot="0" spcFirstLastPara="1" vertOverflow="ellipsis" vert="horz" wrap="square" anchor="ctr" anchorCtr="1"/>
        <a:lstStyle/>
        <a:p>
          <a:pPr>
            <a:defRPr sz="1000" b="0" i="0" u="none" strike="noStrike" kern="1200" baseline="0">
              <a:solidFill>
                <a:schemeClr val="tx1"/>
              </a:solidFill>
              <a:latin typeface="+mj-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Total Cost by Item Category</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Total Cost by Item Category</a:t>
          </a:r>
        </a:p>
      </cx:txPr>
    </cx:title>
    <cx:plotArea>
      <cx:plotAreaRegion>
        <cx:series layoutId="treemap" uniqueId="{F959832A-E42E-418C-BB2D-4558FE32A7E8}">
          <cx:tx>
            <cx:txData>
              <cx:f>_xlchart.v1.1</cx:f>
              <cx:v>TotalCost</cx:v>
            </cx:txData>
          </cx:tx>
          <cx:dataLabels pos="inEnd">
            <cx:numFmt formatCode="0.0,&quot;K&quot;" sourceLinked="0"/>
            <cx:txPr>
              <a:bodyPr spcFirstLastPara="1" vertOverflow="ellipsis" horzOverflow="overflow" wrap="square" lIns="0" tIns="0" rIns="0" bIns="0" anchor="ctr" anchorCtr="1"/>
              <a:lstStyle/>
              <a:p>
                <a:pPr algn="ctr" rtl="0">
                  <a:defRPr sz="900">
                    <a:latin typeface="+mj-lt"/>
                  </a:defRPr>
                </a:pPr>
                <a:endParaRPr lang="en-US" sz="900" b="0" i="0" u="none" strike="noStrike" baseline="0">
                  <a:solidFill>
                    <a:sysClr val="window" lastClr="FFFFFF"/>
                  </a:solidFill>
                  <a:latin typeface="+mj-lt"/>
                </a:endParaRPr>
              </a:p>
            </cx:txPr>
            <cx:visibility seriesName="0" categoryName="1" value="1"/>
            <cx:separator>
</cx:separator>
            <cx:dataLabel idx="0">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10</xdr:col>
      <xdr:colOff>285749</xdr:colOff>
      <xdr:row>7</xdr:row>
      <xdr:rowOff>47625</xdr:rowOff>
    </xdr:from>
    <xdr:ext cx="184731" cy="264560"/>
    <xdr:sp macro="" textlink="">
      <xdr:nvSpPr>
        <xdr:cNvPr id="3" name="TextBox 2">
          <a:extLst>
            <a:ext uri="{FF2B5EF4-FFF2-40B4-BE49-F238E27FC236}">
              <a16:creationId xmlns:a16="http://schemas.microsoft.com/office/drawing/2014/main" id="{F84A2952-1B17-4BC2-9DAD-FE0E52CEC52E}"/>
            </a:ext>
          </a:extLst>
        </xdr:cNvPr>
        <xdr:cNvSpPr txBox="1"/>
      </xdr:nvSpPr>
      <xdr:spPr>
        <a:xfrm>
          <a:off x="6357937" y="15716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editAs="oneCell">
    <xdr:from>
      <xdr:col>0</xdr:col>
      <xdr:colOff>41576</xdr:colOff>
      <xdr:row>19</xdr:row>
      <xdr:rowOff>185398</xdr:rowOff>
    </xdr:from>
    <xdr:to>
      <xdr:col>2</xdr:col>
      <xdr:colOff>57451</xdr:colOff>
      <xdr:row>33</xdr:row>
      <xdr:rowOff>178594</xdr:rowOff>
    </xdr:to>
    <mc:AlternateContent xmlns:mc="http://schemas.openxmlformats.org/markup-compatibility/2006" xmlns:a14="http://schemas.microsoft.com/office/drawing/2010/main">
      <mc:Choice Requires="a14">
        <xdr:graphicFrame macro="">
          <xdr:nvGraphicFramePr>
            <xdr:cNvPr id="17" name="Day">
              <a:extLst>
                <a:ext uri="{FF2B5EF4-FFF2-40B4-BE49-F238E27FC236}">
                  <a16:creationId xmlns:a16="http://schemas.microsoft.com/office/drawing/2014/main" id="{8FCB8C27-FA2C-4812-9C15-FF58A2173FBB}"/>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41576" y="3816804"/>
              <a:ext cx="1230313" cy="26601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84669</xdr:colOff>
      <xdr:row>5</xdr:row>
      <xdr:rowOff>178594</xdr:rowOff>
    </xdr:from>
    <xdr:to>
      <xdr:col>2</xdr:col>
      <xdr:colOff>59531</xdr:colOff>
      <xdr:row>19</xdr:row>
      <xdr:rowOff>71438</xdr:rowOff>
    </xdr:to>
    <mc:AlternateContent xmlns:mc="http://schemas.openxmlformats.org/markup-compatibility/2006" xmlns:a14="http://schemas.microsoft.com/office/drawing/2010/main">
      <mc:Choice Requires="a14">
        <xdr:graphicFrame macro="">
          <xdr:nvGraphicFramePr>
            <xdr:cNvPr id="18" name="Month">
              <a:extLst>
                <a:ext uri="{FF2B5EF4-FFF2-40B4-BE49-F238E27FC236}">
                  <a16:creationId xmlns:a16="http://schemas.microsoft.com/office/drawing/2014/main" id="{D265B477-6128-4848-958C-53EF497D142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4669" y="1144701"/>
              <a:ext cx="1199505" cy="25598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183358</xdr:colOff>
      <xdr:row>5</xdr:row>
      <xdr:rowOff>178595</xdr:rowOff>
    </xdr:from>
    <xdr:to>
      <xdr:col>8</xdr:col>
      <xdr:colOff>559595</xdr:colOff>
      <xdr:row>19</xdr:row>
      <xdr:rowOff>95250</xdr:rowOff>
    </xdr:to>
    <xdr:grpSp>
      <xdr:nvGrpSpPr>
        <xdr:cNvPr id="36" name="Group 35">
          <a:extLst>
            <a:ext uri="{FF2B5EF4-FFF2-40B4-BE49-F238E27FC236}">
              <a16:creationId xmlns:a16="http://schemas.microsoft.com/office/drawing/2014/main" id="{74DBB849-10E3-4962-A7BD-71FBF7712B5E}"/>
            </a:ext>
          </a:extLst>
        </xdr:cNvPr>
        <xdr:cNvGrpSpPr/>
      </xdr:nvGrpSpPr>
      <xdr:grpSpPr>
        <a:xfrm>
          <a:off x="1397796" y="1143001"/>
          <a:ext cx="4019549" cy="2583655"/>
          <a:chOff x="1493044" y="1143001"/>
          <a:chExt cx="4019549" cy="2583655"/>
        </a:xfrm>
      </xdr:grpSpPr>
      <xdr:sp macro="" textlink="">
        <xdr:nvSpPr>
          <xdr:cNvPr id="27" name="Rectangle: Rounded Corners 26">
            <a:extLst>
              <a:ext uri="{FF2B5EF4-FFF2-40B4-BE49-F238E27FC236}">
                <a16:creationId xmlns:a16="http://schemas.microsoft.com/office/drawing/2014/main" id="{6DAAF331-DF47-4249-B525-4E47E59C0E45}"/>
              </a:ext>
            </a:extLst>
          </xdr:cNvPr>
          <xdr:cNvSpPr/>
        </xdr:nvSpPr>
        <xdr:spPr>
          <a:xfrm>
            <a:off x="1493044" y="1143001"/>
            <a:ext cx="4019549" cy="2583655"/>
          </a:xfrm>
          <a:prstGeom prst="roundRect">
            <a:avLst>
              <a:gd name="adj" fmla="val 5039"/>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39BE7789-755F-487D-9FC9-13C02C3B3356}"/>
                  </a:ext>
                </a:extLst>
              </xdr:cNvPr>
              <xdr:cNvGraphicFramePr/>
            </xdr:nvGraphicFramePr>
            <xdr:xfrm>
              <a:off x="1499435" y="1153202"/>
              <a:ext cx="4001252" cy="2549642"/>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99435" y="1153202"/>
                <a:ext cx="4001252" cy="25496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16</xdr:col>
      <xdr:colOff>196743</xdr:colOff>
      <xdr:row>6</xdr:row>
      <xdr:rowOff>0</xdr:rowOff>
    </xdr:from>
    <xdr:to>
      <xdr:col>23</xdr:col>
      <xdr:colOff>547696</xdr:colOff>
      <xdr:row>19</xdr:row>
      <xdr:rowOff>107156</xdr:rowOff>
    </xdr:to>
    <xdr:grpSp>
      <xdr:nvGrpSpPr>
        <xdr:cNvPr id="15" name="Group 14">
          <a:extLst>
            <a:ext uri="{FF2B5EF4-FFF2-40B4-BE49-F238E27FC236}">
              <a16:creationId xmlns:a16="http://schemas.microsoft.com/office/drawing/2014/main" id="{E119B2EC-B62B-49DE-97EF-CB63EEFBF8D4}"/>
            </a:ext>
          </a:extLst>
        </xdr:cNvPr>
        <xdr:cNvGrpSpPr/>
      </xdr:nvGrpSpPr>
      <xdr:grpSpPr>
        <a:xfrm>
          <a:off x="10007493" y="1154906"/>
          <a:ext cx="4172859" cy="2583656"/>
          <a:chOff x="10031305" y="1131094"/>
          <a:chExt cx="4172859" cy="2583656"/>
        </a:xfrm>
      </xdr:grpSpPr>
      <xdr:sp macro="" textlink="">
        <xdr:nvSpPr>
          <xdr:cNvPr id="12" name="Rectangle: Rounded Corners 11">
            <a:extLst>
              <a:ext uri="{FF2B5EF4-FFF2-40B4-BE49-F238E27FC236}">
                <a16:creationId xmlns:a16="http://schemas.microsoft.com/office/drawing/2014/main" id="{F571A462-BC13-4576-88ED-D1E0A7F6CF42}"/>
              </a:ext>
            </a:extLst>
          </xdr:cNvPr>
          <xdr:cNvSpPr/>
        </xdr:nvSpPr>
        <xdr:spPr>
          <a:xfrm>
            <a:off x="10036969" y="1131094"/>
            <a:ext cx="4167187" cy="2583656"/>
          </a:xfrm>
          <a:prstGeom prst="roundRect">
            <a:avLst>
              <a:gd name="adj" fmla="val 503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aphicFrame macro="">
        <xdr:nvGraphicFramePr>
          <xdr:cNvPr id="30" name="Chart 29">
            <a:extLst>
              <a:ext uri="{FF2B5EF4-FFF2-40B4-BE49-F238E27FC236}">
                <a16:creationId xmlns:a16="http://schemas.microsoft.com/office/drawing/2014/main" id="{F5BC0789-C786-4B32-8E9E-F91F52C52312}"/>
              </a:ext>
            </a:extLst>
          </xdr:cNvPr>
          <xdr:cNvGraphicFramePr>
            <a:graphicFrameLocks/>
          </xdr:cNvGraphicFramePr>
        </xdr:nvGraphicFramePr>
        <xdr:xfrm>
          <a:off x="10031305" y="1143001"/>
          <a:ext cx="4172859" cy="254461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9</xdr:col>
      <xdr:colOff>57149</xdr:colOff>
      <xdr:row>6</xdr:row>
      <xdr:rowOff>0</xdr:rowOff>
    </xdr:from>
    <xdr:to>
      <xdr:col>16</xdr:col>
      <xdr:colOff>115661</xdr:colOff>
      <xdr:row>19</xdr:row>
      <xdr:rowOff>95249</xdr:rowOff>
    </xdr:to>
    <xdr:grpSp>
      <xdr:nvGrpSpPr>
        <xdr:cNvPr id="37" name="Group 36">
          <a:extLst>
            <a:ext uri="{FF2B5EF4-FFF2-40B4-BE49-F238E27FC236}">
              <a16:creationId xmlns:a16="http://schemas.microsoft.com/office/drawing/2014/main" id="{36D7E556-6A6A-418C-A8D2-5F004A211FE0}"/>
            </a:ext>
          </a:extLst>
        </xdr:cNvPr>
        <xdr:cNvGrpSpPr/>
      </xdr:nvGrpSpPr>
      <xdr:grpSpPr>
        <a:xfrm>
          <a:off x="5522118" y="1154906"/>
          <a:ext cx="4404293" cy="2571749"/>
          <a:chOff x="5569742" y="1154906"/>
          <a:chExt cx="4404293" cy="2571749"/>
        </a:xfrm>
      </xdr:grpSpPr>
      <xdr:sp macro="" textlink="">
        <xdr:nvSpPr>
          <xdr:cNvPr id="25" name="Rectangle: Rounded Corners 24">
            <a:extLst>
              <a:ext uri="{FF2B5EF4-FFF2-40B4-BE49-F238E27FC236}">
                <a16:creationId xmlns:a16="http://schemas.microsoft.com/office/drawing/2014/main" id="{629D18F8-BB33-4F0C-92FD-39B38D56EE7F}"/>
              </a:ext>
            </a:extLst>
          </xdr:cNvPr>
          <xdr:cNvSpPr/>
        </xdr:nvSpPr>
        <xdr:spPr>
          <a:xfrm>
            <a:off x="5569742" y="1154906"/>
            <a:ext cx="4383881" cy="2571749"/>
          </a:xfrm>
          <a:prstGeom prst="roundRect">
            <a:avLst>
              <a:gd name="adj" fmla="val 5039"/>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6C02C121-BE14-45B8-98BB-B695AD316E02}"/>
              </a:ext>
            </a:extLst>
          </xdr:cNvPr>
          <xdr:cNvGraphicFramePr>
            <a:graphicFrameLocks/>
          </xdr:cNvGraphicFramePr>
        </xdr:nvGraphicFramePr>
        <xdr:xfrm>
          <a:off x="5587431" y="1165314"/>
          <a:ext cx="4386604" cy="2559654"/>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44980</xdr:colOff>
      <xdr:row>20</xdr:row>
      <xdr:rowOff>59532</xdr:rowOff>
    </xdr:from>
    <xdr:to>
      <xdr:col>16</xdr:col>
      <xdr:colOff>273845</xdr:colOff>
      <xdr:row>34</xdr:row>
      <xdr:rowOff>65335</xdr:rowOff>
    </xdr:to>
    <xdr:grpSp>
      <xdr:nvGrpSpPr>
        <xdr:cNvPr id="23" name="Group 22">
          <a:extLst>
            <a:ext uri="{FF2B5EF4-FFF2-40B4-BE49-F238E27FC236}">
              <a16:creationId xmlns:a16="http://schemas.microsoft.com/office/drawing/2014/main" id="{197D76C0-AFA8-4E0A-9E94-AE10E6D67BF5}"/>
            </a:ext>
          </a:extLst>
        </xdr:cNvPr>
        <xdr:cNvGrpSpPr/>
      </xdr:nvGrpSpPr>
      <xdr:grpSpPr>
        <a:xfrm>
          <a:off x="5509949" y="3881438"/>
          <a:ext cx="4574646" cy="2672803"/>
          <a:chOff x="5581385" y="3857626"/>
          <a:chExt cx="4574646" cy="2672803"/>
        </a:xfrm>
      </xdr:grpSpPr>
      <xdr:sp macro="" textlink="">
        <xdr:nvSpPr>
          <xdr:cNvPr id="29" name="Rectangle: Rounded Corners 28">
            <a:extLst>
              <a:ext uri="{FF2B5EF4-FFF2-40B4-BE49-F238E27FC236}">
                <a16:creationId xmlns:a16="http://schemas.microsoft.com/office/drawing/2014/main" id="{9DEEEDA2-C1DD-4DCC-BFFD-B2093C7A09A1}"/>
              </a:ext>
            </a:extLst>
          </xdr:cNvPr>
          <xdr:cNvSpPr/>
        </xdr:nvSpPr>
        <xdr:spPr>
          <a:xfrm>
            <a:off x="5600701" y="3857626"/>
            <a:ext cx="4555330" cy="2652712"/>
          </a:xfrm>
          <a:prstGeom prst="roundRect">
            <a:avLst>
              <a:gd name="adj" fmla="val 5039"/>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32" name="Chart 31">
            <a:extLst>
              <a:ext uri="{FF2B5EF4-FFF2-40B4-BE49-F238E27FC236}">
                <a16:creationId xmlns:a16="http://schemas.microsoft.com/office/drawing/2014/main" id="{69635E3E-DA29-4801-9D7F-D0A7FA0EC234}"/>
              </a:ext>
            </a:extLst>
          </xdr:cNvPr>
          <xdr:cNvGraphicFramePr>
            <a:graphicFrameLocks/>
          </xdr:cNvGraphicFramePr>
        </xdr:nvGraphicFramePr>
        <xdr:xfrm>
          <a:off x="5581385" y="3864052"/>
          <a:ext cx="4569543" cy="266637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2</xdr:col>
      <xdr:colOff>166688</xdr:colOff>
      <xdr:row>20</xdr:row>
      <xdr:rowOff>23813</xdr:rowOff>
    </xdr:from>
    <xdr:to>
      <xdr:col>8</xdr:col>
      <xdr:colOff>547689</xdr:colOff>
      <xdr:row>34</xdr:row>
      <xdr:rowOff>19049</xdr:rowOff>
    </xdr:to>
    <xdr:grpSp>
      <xdr:nvGrpSpPr>
        <xdr:cNvPr id="24" name="Group 23">
          <a:extLst>
            <a:ext uri="{FF2B5EF4-FFF2-40B4-BE49-F238E27FC236}">
              <a16:creationId xmlns:a16="http://schemas.microsoft.com/office/drawing/2014/main" id="{17880EAF-20D7-4382-8A46-B24CC6179541}"/>
            </a:ext>
          </a:extLst>
        </xdr:cNvPr>
        <xdr:cNvGrpSpPr/>
      </xdr:nvGrpSpPr>
      <xdr:grpSpPr>
        <a:xfrm>
          <a:off x="1381126" y="3845719"/>
          <a:ext cx="4024313" cy="2662236"/>
          <a:chOff x="1452562" y="3845719"/>
          <a:chExt cx="4024313" cy="2662236"/>
        </a:xfrm>
      </xdr:grpSpPr>
      <xdr:sp macro="" textlink="">
        <xdr:nvSpPr>
          <xdr:cNvPr id="35" name="Rectangle: Rounded Corners 34">
            <a:extLst>
              <a:ext uri="{FF2B5EF4-FFF2-40B4-BE49-F238E27FC236}">
                <a16:creationId xmlns:a16="http://schemas.microsoft.com/office/drawing/2014/main" id="{A6B85CCD-2C7E-4C5F-9B52-34D35AE4252C}"/>
              </a:ext>
            </a:extLst>
          </xdr:cNvPr>
          <xdr:cNvSpPr/>
        </xdr:nvSpPr>
        <xdr:spPr>
          <a:xfrm>
            <a:off x="1452562" y="3845719"/>
            <a:ext cx="4024313" cy="2662236"/>
          </a:xfrm>
          <a:prstGeom prst="roundRect">
            <a:avLst>
              <a:gd name="adj" fmla="val 5039"/>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33" name="Chart 32">
            <a:extLst>
              <a:ext uri="{FF2B5EF4-FFF2-40B4-BE49-F238E27FC236}">
                <a16:creationId xmlns:a16="http://schemas.microsoft.com/office/drawing/2014/main" id="{9A26C7EE-49B8-4D62-BCF8-A0B39C4768D2}"/>
              </a:ext>
            </a:extLst>
          </xdr:cNvPr>
          <xdr:cNvGraphicFramePr>
            <a:graphicFrameLocks/>
          </xdr:cNvGraphicFramePr>
        </xdr:nvGraphicFramePr>
        <xdr:xfrm>
          <a:off x="1480155" y="3869530"/>
          <a:ext cx="3961002" cy="2619375"/>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16</xdr:col>
      <xdr:colOff>369095</xdr:colOff>
      <xdr:row>20</xdr:row>
      <xdr:rowOff>35719</xdr:rowOff>
    </xdr:from>
    <xdr:to>
      <xdr:col>23</xdr:col>
      <xdr:colOff>535783</xdr:colOff>
      <xdr:row>34</xdr:row>
      <xdr:rowOff>71438</xdr:rowOff>
    </xdr:to>
    <xdr:grpSp>
      <xdr:nvGrpSpPr>
        <xdr:cNvPr id="39" name="Group 38">
          <a:extLst>
            <a:ext uri="{FF2B5EF4-FFF2-40B4-BE49-F238E27FC236}">
              <a16:creationId xmlns:a16="http://schemas.microsoft.com/office/drawing/2014/main" id="{BFD9B871-EAE6-4769-A369-573467686988}"/>
            </a:ext>
          </a:extLst>
        </xdr:cNvPr>
        <xdr:cNvGrpSpPr/>
      </xdr:nvGrpSpPr>
      <xdr:grpSpPr>
        <a:xfrm>
          <a:off x="10179845" y="3857625"/>
          <a:ext cx="3988594" cy="2702719"/>
          <a:chOff x="10179845" y="3857625"/>
          <a:chExt cx="3988594" cy="2702719"/>
        </a:xfrm>
      </xdr:grpSpPr>
      <xdr:sp macro="" textlink="">
        <xdr:nvSpPr>
          <xdr:cNvPr id="26" name="Rectangle: Rounded Corners 25">
            <a:extLst>
              <a:ext uri="{FF2B5EF4-FFF2-40B4-BE49-F238E27FC236}">
                <a16:creationId xmlns:a16="http://schemas.microsoft.com/office/drawing/2014/main" id="{ACFA51FD-A751-4282-9F1C-F97D8D5103ED}"/>
              </a:ext>
            </a:extLst>
          </xdr:cNvPr>
          <xdr:cNvSpPr/>
        </xdr:nvSpPr>
        <xdr:spPr>
          <a:xfrm>
            <a:off x="10179845" y="3857625"/>
            <a:ext cx="3988594" cy="2702719"/>
          </a:xfrm>
          <a:prstGeom prst="roundRect">
            <a:avLst>
              <a:gd name="adj" fmla="val 5039"/>
            </a:avLst>
          </a:prstGeom>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graphicFrame macro="">
        <xdr:nvGraphicFramePr>
          <xdr:cNvPr id="34" name="Chart 33">
            <a:extLst>
              <a:ext uri="{FF2B5EF4-FFF2-40B4-BE49-F238E27FC236}">
                <a16:creationId xmlns:a16="http://schemas.microsoft.com/office/drawing/2014/main" id="{E52F2B4F-1AE2-4B59-8070-0A70E560A69F}"/>
              </a:ext>
            </a:extLst>
          </xdr:cNvPr>
          <xdr:cNvGraphicFramePr>
            <a:graphicFrameLocks/>
          </xdr:cNvGraphicFramePr>
        </xdr:nvGraphicFramePr>
        <xdr:xfrm>
          <a:off x="10191751" y="3881433"/>
          <a:ext cx="3952783" cy="2667001"/>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13</xdr:col>
      <xdr:colOff>500064</xdr:colOff>
      <xdr:row>0</xdr:row>
      <xdr:rowOff>130969</xdr:rowOff>
    </xdr:from>
    <xdr:to>
      <xdr:col>17</xdr:col>
      <xdr:colOff>2</xdr:colOff>
      <xdr:row>5</xdr:row>
      <xdr:rowOff>59532</xdr:rowOff>
    </xdr:to>
    <xdr:grpSp>
      <xdr:nvGrpSpPr>
        <xdr:cNvPr id="2" name="Group 1">
          <a:extLst>
            <a:ext uri="{FF2B5EF4-FFF2-40B4-BE49-F238E27FC236}">
              <a16:creationId xmlns:a16="http://schemas.microsoft.com/office/drawing/2014/main" id="{6FE81040-CC67-4187-9B51-32F096F8B246}"/>
            </a:ext>
          </a:extLst>
        </xdr:cNvPr>
        <xdr:cNvGrpSpPr/>
      </xdr:nvGrpSpPr>
      <xdr:grpSpPr>
        <a:xfrm>
          <a:off x="8393908" y="130969"/>
          <a:ext cx="1857375" cy="892969"/>
          <a:chOff x="8453438" y="142875"/>
          <a:chExt cx="1857375" cy="892969"/>
        </a:xfrm>
      </xdr:grpSpPr>
      <xdr:sp macro="" textlink="">
        <xdr:nvSpPr>
          <xdr:cNvPr id="6" name="Rectangle: Rounded Corners 5">
            <a:extLst>
              <a:ext uri="{FF2B5EF4-FFF2-40B4-BE49-F238E27FC236}">
                <a16:creationId xmlns:a16="http://schemas.microsoft.com/office/drawing/2014/main" id="{6D628AED-5908-4BE1-9A3F-216BD18EF1DD}"/>
              </a:ext>
            </a:extLst>
          </xdr:cNvPr>
          <xdr:cNvSpPr/>
        </xdr:nvSpPr>
        <xdr:spPr>
          <a:xfrm>
            <a:off x="8453438" y="142875"/>
            <a:ext cx="1857375" cy="892969"/>
          </a:xfrm>
          <a:prstGeom prst="roundRect">
            <a:avLst/>
          </a:prstGeom>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8" name="TextBox 7">
            <a:extLst>
              <a:ext uri="{FF2B5EF4-FFF2-40B4-BE49-F238E27FC236}">
                <a16:creationId xmlns:a16="http://schemas.microsoft.com/office/drawing/2014/main" id="{4A828113-B675-411C-93E4-1CD76E2E578B}"/>
              </a:ext>
            </a:extLst>
          </xdr:cNvPr>
          <xdr:cNvSpPr txBox="1"/>
        </xdr:nvSpPr>
        <xdr:spPr>
          <a:xfrm>
            <a:off x="8536781" y="214312"/>
            <a:ext cx="1702594" cy="297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100"/>
              <a:t>  </a:t>
            </a:r>
            <a:r>
              <a:rPr lang="en-US" sz="1400" b="1"/>
              <a:t>QUANTITY</a:t>
            </a:r>
          </a:p>
        </xdr:txBody>
      </xdr:sp>
      <xdr:sp macro="" textlink="Analysis!W4">
        <xdr:nvSpPr>
          <xdr:cNvPr id="9" name="TextBox 8">
            <a:extLst>
              <a:ext uri="{FF2B5EF4-FFF2-40B4-BE49-F238E27FC236}">
                <a16:creationId xmlns:a16="http://schemas.microsoft.com/office/drawing/2014/main" id="{5FA445C7-74B6-4936-832F-EE8B9E33D2DC}"/>
              </a:ext>
            </a:extLst>
          </xdr:cNvPr>
          <xdr:cNvSpPr txBox="1"/>
        </xdr:nvSpPr>
        <xdr:spPr>
          <a:xfrm>
            <a:off x="8501062" y="607219"/>
            <a:ext cx="1738313" cy="3929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D0663A-820D-453C-8D7D-3BCADABE7142}" type="TxLink">
              <a:rPr lang="en-US" sz="1800" b="1" i="0" u="none" strike="noStrike">
                <a:solidFill>
                  <a:srgbClr val="000000"/>
                </a:solidFill>
                <a:latin typeface="+mn-lt"/>
                <a:ea typeface="Calibri"/>
                <a:cs typeface="Calibri"/>
              </a:rPr>
              <a:pPr algn="ctr"/>
              <a:t>4.8K</a:t>
            </a:fld>
            <a:endParaRPr lang="en-US" sz="1800" b="1">
              <a:latin typeface="+mn-lt"/>
            </a:endParaRPr>
          </a:p>
        </xdr:txBody>
      </xdr:sp>
    </xdr:grpSp>
    <xdr:clientData/>
  </xdr:twoCellAnchor>
  <xdr:twoCellAnchor>
    <xdr:from>
      <xdr:col>17</xdr:col>
      <xdr:colOff>83344</xdr:colOff>
      <xdr:row>0</xdr:row>
      <xdr:rowOff>130968</xdr:rowOff>
    </xdr:from>
    <xdr:to>
      <xdr:col>20</xdr:col>
      <xdr:colOff>381225</xdr:colOff>
      <xdr:row>5</xdr:row>
      <xdr:rowOff>59362</xdr:rowOff>
    </xdr:to>
    <xdr:grpSp>
      <xdr:nvGrpSpPr>
        <xdr:cNvPr id="4" name="Group 3">
          <a:extLst>
            <a:ext uri="{FF2B5EF4-FFF2-40B4-BE49-F238E27FC236}">
              <a16:creationId xmlns:a16="http://schemas.microsoft.com/office/drawing/2014/main" id="{876C9372-FA66-412A-B470-58DAB8A22F2C}"/>
            </a:ext>
          </a:extLst>
        </xdr:cNvPr>
        <xdr:cNvGrpSpPr/>
      </xdr:nvGrpSpPr>
      <xdr:grpSpPr>
        <a:xfrm>
          <a:off x="10334625" y="130968"/>
          <a:ext cx="1857600" cy="892800"/>
          <a:chOff x="10382249" y="130968"/>
          <a:chExt cx="1857600" cy="892800"/>
        </a:xfrm>
      </xdr:grpSpPr>
      <xdr:sp macro="" textlink="">
        <xdr:nvSpPr>
          <xdr:cNvPr id="7" name="Rectangle: Rounded Corners 6">
            <a:extLst>
              <a:ext uri="{FF2B5EF4-FFF2-40B4-BE49-F238E27FC236}">
                <a16:creationId xmlns:a16="http://schemas.microsoft.com/office/drawing/2014/main" id="{9600A801-FAC8-49F4-9EAE-88264510C8DE}"/>
              </a:ext>
            </a:extLst>
          </xdr:cNvPr>
          <xdr:cNvSpPr/>
        </xdr:nvSpPr>
        <xdr:spPr>
          <a:xfrm>
            <a:off x="10382249" y="130968"/>
            <a:ext cx="1857600" cy="892800"/>
          </a:xfrm>
          <a:prstGeom prst="roundRect">
            <a:avLst/>
          </a:prstGeom>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9" name="TextBox 18">
            <a:extLst>
              <a:ext uri="{FF2B5EF4-FFF2-40B4-BE49-F238E27FC236}">
                <a16:creationId xmlns:a16="http://schemas.microsoft.com/office/drawing/2014/main" id="{55F969D0-DC83-424B-83D1-14D89337DB4F}"/>
              </a:ext>
            </a:extLst>
          </xdr:cNvPr>
          <xdr:cNvSpPr txBox="1"/>
        </xdr:nvSpPr>
        <xdr:spPr>
          <a:xfrm>
            <a:off x="10429875" y="214313"/>
            <a:ext cx="173831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100"/>
              <a:t>  </a:t>
            </a:r>
            <a:r>
              <a:rPr lang="en-US" sz="1400" b="1"/>
              <a:t>COST</a:t>
            </a:r>
          </a:p>
        </xdr:txBody>
      </xdr:sp>
      <xdr:sp macro="" textlink="Analysis!X4">
        <xdr:nvSpPr>
          <xdr:cNvPr id="20" name="TextBox 19">
            <a:extLst>
              <a:ext uri="{FF2B5EF4-FFF2-40B4-BE49-F238E27FC236}">
                <a16:creationId xmlns:a16="http://schemas.microsoft.com/office/drawing/2014/main" id="{AC17FF6F-0A26-4196-BDEB-517BAFE09D66}"/>
              </a:ext>
            </a:extLst>
          </xdr:cNvPr>
          <xdr:cNvSpPr txBox="1"/>
        </xdr:nvSpPr>
        <xdr:spPr>
          <a:xfrm>
            <a:off x="10439399" y="592930"/>
            <a:ext cx="1738800" cy="39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C925A0-7C0F-47BC-9C8D-AC0B92795ACF}" type="TxLink">
              <a:rPr lang="en-US" sz="1800" b="1" i="0" u="none" strike="noStrike">
                <a:solidFill>
                  <a:srgbClr val="000000"/>
                </a:solidFill>
                <a:latin typeface="+mn-lt"/>
                <a:ea typeface="Calibri"/>
                <a:cs typeface="Calibri"/>
              </a:rPr>
              <a:pPr algn="ctr"/>
              <a:t>1.24M</a:t>
            </a:fld>
            <a:endParaRPr lang="en-US" sz="2400" b="1">
              <a:latin typeface="+mn-lt"/>
            </a:endParaRPr>
          </a:p>
        </xdr:txBody>
      </xdr:sp>
    </xdr:grpSp>
    <xdr:clientData/>
  </xdr:twoCellAnchor>
  <xdr:twoCellAnchor>
    <xdr:from>
      <xdr:col>20</xdr:col>
      <xdr:colOff>452438</xdr:colOff>
      <xdr:row>0</xdr:row>
      <xdr:rowOff>119063</xdr:rowOff>
    </xdr:from>
    <xdr:to>
      <xdr:col>23</xdr:col>
      <xdr:colOff>488382</xdr:colOff>
      <xdr:row>5</xdr:row>
      <xdr:rowOff>47457</xdr:rowOff>
    </xdr:to>
    <xdr:grpSp>
      <xdr:nvGrpSpPr>
        <xdr:cNvPr id="13" name="Group 12">
          <a:extLst>
            <a:ext uri="{FF2B5EF4-FFF2-40B4-BE49-F238E27FC236}">
              <a16:creationId xmlns:a16="http://schemas.microsoft.com/office/drawing/2014/main" id="{6807BF25-0F77-40EF-865B-0EDE1111D4AC}"/>
            </a:ext>
          </a:extLst>
        </xdr:cNvPr>
        <xdr:cNvGrpSpPr/>
      </xdr:nvGrpSpPr>
      <xdr:grpSpPr>
        <a:xfrm>
          <a:off x="12263438" y="119063"/>
          <a:ext cx="1857600" cy="892800"/>
          <a:chOff x="12311062" y="119063"/>
          <a:chExt cx="1857600" cy="892800"/>
        </a:xfrm>
      </xdr:grpSpPr>
      <xdr:sp macro="" textlink="">
        <xdr:nvSpPr>
          <xdr:cNvPr id="10" name="Rectangle: Rounded Corners 9">
            <a:extLst>
              <a:ext uri="{FF2B5EF4-FFF2-40B4-BE49-F238E27FC236}">
                <a16:creationId xmlns:a16="http://schemas.microsoft.com/office/drawing/2014/main" id="{4B639E0B-8B93-40C5-9E98-179FB7F219F7}"/>
              </a:ext>
            </a:extLst>
          </xdr:cNvPr>
          <xdr:cNvSpPr/>
        </xdr:nvSpPr>
        <xdr:spPr>
          <a:xfrm>
            <a:off x="12311062" y="119063"/>
            <a:ext cx="1857600" cy="892800"/>
          </a:xfrm>
          <a:prstGeom prst="roundRect">
            <a:avLst/>
          </a:prstGeom>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E72781AB-EC5D-43C2-B019-AF0A58B47888}"/>
              </a:ext>
            </a:extLst>
          </xdr:cNvPr>
          <xdr:cNvSpPr txBox="1"/>
        </xdr:nvSpPr>
        <xdr:spPr>
          <a:xfrm>
            <a:off x="12368211" y="166687"/>
            <a:ext cx="1738800" cy="341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TOTAL</a:t>
            </a:r>
            <a:r>
              <a:rPr lang="en-US" sz="1100"/>
              <a:t>  </a:t>
            </a:r>
            <a:r>
              <a:rPr lang="en-US" sz="1400" b="1"/>
              <a:t>ITEMS</a:t>
            </a:r>
          </a:p>
        </xdr:txBody>
      </xdr:sp>
      <xdr:sp macro="" textlink="Analysis!Y4">
        <xdr:nvSpPr>
          <xdr:cNvPr id="22" name="TextBox 21">
            <a:extLst>
              <a:ext uri="{FF2B5EF4-FFF2-40B4-BE49-F238E27FC236}">
                <a16:creationId xmlns:a16="http://schemas.microsoft.com/office/drawing/2014/main" id="{53EBD7A5-6D75-4380-925A-B0C4B66EF0A2}"/>
              </a:ext>
            </a:extLst>
          </xdr:cNvPr>
          <xdr:cNvSpPr txBox="1"/>
        </xdr:nvSpPr>
        <xdr:spPr>
          <a:xfrm>
            <a:off x="12382500" y="578644"/>
            <a:ext cx="1738800" cy="392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F23ED4B-AD83-47F1-93BD-96A6390BE07F}" type="TxLink">
              <a:rPr lang="en-US" sz="1800" b="1" i="0" u="none" strike="noStrike">
                <a:solidFill>
                  <a:srgbClr val="000000"/>
                </a:solidFill>
                <a:latin typeface="Calibri"/>
                <a:ea typeface="Calibri"/>
                <a:cs typeface="Calibri"/>
              </a:rPr>
              <a:pPr algn="ctr"/>
              <a:t>500</a:t>
            </a:fld>
            <a:endParaRPr lang="en-US" sz="2400" b="1"/>
          </a:p>
        </xdr:txBody>
      </xdr:sp>
    </xdr:grpSp>
    <xdr:clientData/>
  </xdr:twoCellAnchor>
  <xdr:twoCellAnchor>
    <xdr:from>
      <xdr:col>0</xdr:col>
      <xdr:colOff>71438</xdr:colOff>
      <xdr:row>0</xdr:row>
      <xdr:rowOff>154780</xdr:rowOff>
    </xdr:from>
    <xdr:to>
      <xdr:col>13</xdr:col>
      <xdr:colOff>416720</xdr:colOff>
      <xdr:row>5</xdr:row>
      <xdr:rowOff>47625</xdr:rowOff>
    </xdr:to>
    <xdr:grpSp>
      <xdr:nvGrpSpPr>
        <xdr:cNvPr id="14" name="Group 13">
          <a:extLst>
            <a:ext uri="{FF2B5EF4-FFF2-40B4-BE49-F238E27FC236}">
              <a16:creationId xmlns:a16="http://schemas.microsoft.com/office/drawing/2014/main" id="{D23F26E4-4344-4945-80D2-93256F1A303B}"/>
            </a:ext>
          </a:extLst>
        </xdr:cNvPr>
        <xdr:cNvGrpSpPr/>
      </xdr:nvGrpSpPr>
      <xdr:grpSpPr>
        <a:xfrm>
          <a:off x="71438" y="154780"/>
          <a:ext cx="8239126" cy="857251"/>
          <a:chOff x="107156" y="154780"/>
          <a:chExt cx="8239126" cy="857251"/>
        </a:xfrm>
      </xdr:grpSpPr>
      <xdr:sp macro="" textlink="">
        <xdr:nvSpPr>
          <xdr:cNvPr id="5" name="Rectangle: Rounded Corners 4">
            <a:extLst>
              <a:ext uri="{FF2B5EF4-FFF2-40B4-BE49-F238E27FC236}">
                <a16:creationId xmlns:a16="http://schemas.microsoft.com/office/drawing/2014/main" id="{F0FED1F9-2576-4E26-90F9-C6EBE16083A7}"/>
              </a:ext>
            </a:extLst>
          </xdr:cNvPr>
          <xdr:cNvSpPr/>
        </xdr:nvSpPr>
        <xdr:spPr>
          <a:xfrm>
            <a:off x="107156" y="154780"/>
            <a:ext cx="8239126" cy="857251"/>
          </a:xfrm>
          <a:prstGeom prst="roundRect">
            <a:avLst>
              <a:gd name="adj" fmla="val 11729"/>
            </a:avLst>
          </a:prstGeom>
          <a:ln>
            <a:solidFill>
              <a:schemeClr val="accent1">
                <a:lumMod val="20000"/>
                <a:lumOff val="8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DE9B62D9-9EDD-449A-8326-30CF4EE15F07}"/>
              </a:ext>
            </a:extLst>
          </xdr:cNvPr>
          <xdr:cNvSpPr txBox="1"/>
        </xdr:nvSpPr>
        <xdr:spPr>
          <a:xfrm>
            <a:off x="214313" y="214311"/>
            <a:ext cx="8036719" cy="797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400" b="1"/>
              <a:t>SALES</a:t>
            </a:r>
            <a:r>
              <a:rPr lang="en-US" sz="3400" b="1" baseline="0"/>
              <a:t>  DASHBOARD</a:t>
            </a:r>
            <a:endParaRPr lang="en-US" sz="3400" b="1"/>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54.867266435183" createdVersion="7" refreshedVersion="7" minRefreshableVersion="3" recordCount="500" xr:uid="{17A8487C-266B-4658-8893-CBC9A1B084AF}">
  <cacheSource type="worksheet">
    <worksheetSource name="Data"/>
  </cacheSource>
  <cacheFields count="11">
    <cacheField name="TransactionID" numFmtId="0">
      <sharedItems/>
    </cacheField>
    <cacheField name="ItemName" numFmtId="0">
      <sharedItems count="10">
        <s v="Desk Chair"/>
        <s v="Stapler"/>
        <s v="Annual Software License"/>
        <s v="Notepad"/>
        <s v="Printer"/>
        <s v="Printer Ink"/>
        <s v="Whiteboard"/>
        <s v="Monitor"/>
        <s v="Laptop Bag"/>
        <s v="Laptop"/>
      </sharedItems>
    </cacheField>
    <cacheField name="Category" numFmtId="0">
      <sharedItems count="6">
        <s v="Furniture"/>
        <s v="Office Supplies"/>
        <s v="Software"/>
        <s v="Stationery"/>
        <s v="Electronics"/>
        <s v="Accessories"/>
      </sharedItems>
    </cacheField>
    <cacheField name="Quantity" numFmtId="0">
      <sharedItems containsSemiMixedTypes="0" containsString="0" containsNumber="1" containsInteger="1" minValue="1" maxValue="20"/>
    </cacheField>
    <cacheField name="UnitPrice" numFmtId="0">
      <sharedItems containsSemiMixedTypes="0" containsString="0" containsNumber="1" minValue="1.06" maxValue="9909.24"/>
    </cacheField>
    <cacheField name="TotalCost" numFmtId="0">
      <sharedItems containsSemiMixedTypes="0" containsString="0" containsNumber="1" minValue="1.56" maxValue="18494.599999999999"/>
    </cacheField>
    <cacheField name="PurchaseDate" numFmtId="14">
      <sharedItems containsSemiMixedTypes="0" containsNonDate="0" containsDate="1" containsString="0" minDate="2025-01-01T00:00:00" maxDate="2025-12-31T00:00:00"/>
    </cacheField>
    <cacheField name="Supplier" numFmtId="0">
      <sharedItems count="5">
        <s v="TechMart Inc."/>
        <s v="CloudSoft Corp."/>
        <s v="FurniWorks Ltd."/>
        <s v="OfficeSupplies Co."/>
        <s v="QuickDeliver Ltd."/>
      </sharedItems>
    </cacheField>
    <cacheField name="Buyer" numFmtId="0">
      <sharedItems count="20">
        <s v="Kelly Joseph"/>
        <s v="Luis Holland"/>
        <s v="Cynthia Jenkins"/>
        <s v="Stephanie Bennett"/>
        <s v="Todd James"/>
        <s v="Aaron Hopkins"/>
        <s v="Kevin Adams"/>
        <s v="Walter Pena"/>
        <s v="Jasmine Mcgee"/>
        <s v="Dawn Padilla"/>
        <s v="Amy Warner"/>
        <s v="Lisa Parks"/>
        <s v="Kayla Hanson"/>
        <s v="Rebecca Bell"/>
        <s v="Laura White"/>
        <s v="Jessica Hodges"/>
        <s v="Nicole Clay"/>
        <s v="Noah Long"/>
        <s v="Melissa Mckee"/>
        <s v="Barry Johnson"/>
      </sharedItems>
    </cacheField>
    <cacheField name="Day" numFmtId="0">
      <sharedItems count="7">
        <s v="Sat"/>
        <s v="Sun"/>
        <s v="Wed"/>
        <s v="Tue"/>
        <s v="Mon"/>
        <s v="Fri"/>
        <s v="Thu"/>
      </sharedItems>
    </cacheField>
    <cacheField name="Month" numFmtId="0">
      <sharedItems count="12">
        <s v="Apr"/>
        <s v="Jul"/>
        <s v="Sep"/>
        <s v="Jan"/>
        <s v="Feb"/>
        <s v="Nov"/>
        <s v="Dec"/>
        <s v="Aug"/>
        <s v="Oct"/>
        <s v="Mar"/>
        <s v="May"/>
        <s v="Jun"/>
      </sharedItems>
    </cacheField>
  </cacheFields>
  <extLst>
    <ext xmlns:x14="http://schemas.microsoft.com/office/spreadsheetml/2009/9/main" uri="{725AE2AE-9491-48be-B2B4-4EB974FC3084}">
      <x14:pivotCacheDefinition pivotCacheId="10582259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TXN001"/>
    <x v="0"/>
    <x v="0"/>
    <n v="10"/>
    <n v="113.15"/>
    <n v="1131.5"/>
    <d v="2025-04-19T00:00:00"/>
    <x v="0"/>
    <x v="0"/>
    <x v="0"/>
    <x v="0"/>
  </r>
  <r>
    <s v="TXN002"/>
    <x v="1"/>
    <x v="1"/>
    <n v="16"/>
    <n v="12.62"/>
    <n v="201.92"/>
    <d v="2025-07-06T00:00:00"/>
    <x v="1"/>
    <x v="0"/>
    <x v="1"/>
    <x v="1"/>
  </r>
  <r>
    <s v="TXN003"/>
    <x v="2"/>
    <x v="2"/>
    <n v="1"/>
    <n v="5649.34"/>
    <n v="5649.34"/>
    <d v="2025-09-10T00:00:00"/>
    <x v="0"/>
    <x v="0"/>
    <x v="2"/>
    <x v="2"/>
  </r>
  <r>
    <s v="TXN004"/>
    <x v="3"/>
    <x v="3"/>
    <n v="13"/>
    <n v="2.92"/>
    <n v="37.96"/>
    <d v="2025-01-21T00:00:00"/>
    <x v="2"/>
    <x v="1"/>
    <x v="3"/>
    <x v="3"/>
  </r>
  <r>
    <s v="TXN005"/>
    <x v="3"/>
    <x v="3"/>
    <n v="19"/>
    <n v="1.39"/>
    <n v="26.41"/>
    <d v="2025-02-03T00:00:00"/>
    <x v="0"/>
    <x v="2"/>
    <x v="4"/>
    <x v="4"/>
  </r>
  <r>
    <s v="TXN006"/>
    <x v="4"/>
    <x v="4"/>
    <n v="19"/>
    <n v="150.94"/>
    <n v="2867.86"/>
    <d v="2025-11-28T00:00:00"/>
    <x v="2"/>
    <x v="3"/>
    <x v="5"/>
    <x v="5"/>
  </r>
  <r>
    <s v="TXN007"/>
    <x v="3"/>
    <x v="3"/>
    <n v="8"/>
    <n v="2.73"/>
    <n v="21.84"/>
    <d v="2025-02-19T00:00:00"/>
    <x v="3"/>
    <x v="4"/>
    <x v="2"/>
    <x v="4"/>
  </r>
  <r>
    <s v="TXN008"/>
    <x v="3"/>
    <x v="3"/>
    <n v="4"/>
    <n v="2.42"/>
    <n v="9.68"/>
    <d v="2025-09-11T00:00:00"/>
    <x v="2"/>
    <x v="5"/>
    <x v="6"/>
    <x v="2"/>
  </r>
  <r>
    <s v="TXN009"/>
    <x v="5"/>
    <x v="3"/>
    <n v="13"/>
    <n v="11.89"/>
    <n v="154.57"/>
    <d v="2025-04-12T00:00:00"/>
    <x v="2"/>
    <x v="6"/>
    <x v="0"/>
    <x v="0"/>
  </r>
  <r>
    <s v="TXN010"/>
    <x v="6"/>
    <x v="0"/>
    <n v="19"/>
    <n v="100.82"/>
    <n v="1915.58"/>
    <d v="2025-12-14T00:00:00"/>
    <x v="2"/>
    <x v="5"/>
    <x v="1"/>
    <x v="6"/>
  </r>
  <r>
    <s v="TXN011"/>
    <x v="2"/>
    <x v="2"/>
    <n v="1"/>
    <n v="8183.91"/>
    <n v="8183.91"/>
    <d v="2025-01-13T00:00:00"/>
    <x v="4"/>
    <x v="5"/>
    <x v="4"/>
    <x v="3"/>
  </r>
  <r>
    <s v="TXN012"/>
    <x v="3"/>
    <x v="3"/>
    <n v="14"/>
    <n v="2.92"/>
    <n v="40.880000000000003"/>
    <d v="2025-08-01T00:00:00"/>
    <x v="2"/>
    <x v="7"/>
    <x v="5"/>
    <x v="7"/>
  </r>
  <r>
    <s v="TXN013"/>
    <x v="1"/>
    <x v="1"/>
    <n v="15"/>
    <n v="8.4"/>
    <n v="126"/>
    <d v="2025-01-17T00:00:00"/>
    <x v="2"/>
    <x v="8"/>
    <x v="5"/>
    <x v="3"/>
  </r>
  <r>
    <s v="TXN014"/>
    <x v="6"/>
    <x v="0"/>
    <n v="20"/>
    <n v="111.86"/>
    <n v="2237.1999999999998"/>
    <d v="2025-04-12T00:00:00"/>
    <x v="2"/>
    <x v="9"/>
    <x v="0"/>
    <x v="0"/>
  </r>
  <r>
    <s v="TXN015"/>
    <x v="3"/>
    <x v="3"/>
    <n v="17"/>
    <n v="1.41"/>
    <n v="23.97"/>
    <d v="2025-12-30T00:00:00"/>
    <x v="4"/>
    <x v="3"/>
    <x v="3"/>
    <x v="6"/>
  </r>
  <r>
    <s v="TXN016"/>
    <x v="7"/>
    <x v="4"/>
    <n v="6"/>
    <n v="263.79000000000002"/>
    <n v="1582.74"/>
    <d v="2025-11-06T00:00:00"/>
    <x v="4"/>
    <x v="7"/>
    <x v="6"/>
    <x v="5"/>
  </r>
  <r>
    <s v="TXN017"/>
    <x v="8"/>
    <x v="5"/>
    <n v="2"/>
    <n v="32"/>
    <n v="64"/>
    <d v="2025-08-10T00:00:00"/>
    <x v="2"/>
    <x v="10"/>
    <x v="1"/>
    <x v="7"/>
  </r>
  <r>
    <s v="TXN018"/>
    <x v="8"/>
    <x v="5"/>
    <n v="16"/>
    <n v="42.02"/>
    <n v="672.32"/>
    <d v="2025-09-02T00:00:00"/>
    <x v="2"/>
    <x v="11"/>
    <x v="3"/>
    <x v="2"/>
  </r>
  <r>
    <s v="TXN019"/>
    <x v="9"/>
    <x v="4"/>
    <n v="19"/>
    <n v="815.19"/>
    <n v="15488.61"/>
    <d v="2025-10-22T00:00:00"/>
    <x v="0"/>
    <x v="8"/>
    <x v="2"/>
    <x v="8"/>
  </r>
  <r>
    <s v="TXN020"/>
    <x v="7"/>
    <x v="4"/>
    <n v="9"/>
    <n v="336.61"/>
    <n v="3029.49"/>
    <d v="2025-03-03T00:00:00"/>
    <x v="4"/>
    <x v="8"/>
    <x v="4"/>
    <x v="9"/>
  </r>
  <r>
    <s v="TXN021"/>
    <x v="1"/>
    <x v="1"/>
    <n v="3"/>
    <n v="13.02"/>
    <n v="39.06"/>
    <d v="2025-05-26T00:00:00"/>
    <x v="1"/>
    <x v="9"/>
    <x v="4"/>
    <x v="10"/>
  </r>
  <r>
    <s v="TXN022"/>
    <x v="4"/>
    <x v="4"/>
    <n v="13"/>
    <n v="207.33"/>
    <n v="2695.29"/>
    <d v="2025-02-16T00:00:00"/>
    <x v="2"/>
    <x v="12"/>
    <x v="1"/>
    <x v="4"/>
  </r>
  <r>
    <s v="TXN023"/>
    <x v="6"/>
    <x v="0"/>
    <n v="16"/>
    <n v="150.6"/>
    <n v="2409.6"/>
    <d v="2025-08-30T00:00:00"/>
    <x v="2"/>
    <x v="9"/>
    <x v="0"/>
    <x v="7"/>
  </r>
  <r>
    <s v="TXN024"/>
    <x v="6"/>
    <x v="0"/>
    <n v="16"/>
    <n v="139.65"/>
    <n v="2234.4"/>
    <d v="2025-10-10T00:00:00"/>
    <x v="4"/>
    <x v="11"/>
    <x v="5"/>
    <x v="8"/>
  </r>
  <r>
    <s v="TXN025"/>
    <x v="3"/>
    <x v="3"/>
    <n v="18"/>
    <n v="1.1499999999999999"/>
    <n v="20.7"/>
    <d v="2025-05-21T00:00:00"/>
    <x v="4"/>
    <x v="11"/>
    <x v="2"/>
    <x v="10"/>
  </r>
  <r>
    <s v="TXN026"/>
    <x v="0"/>
    <x v="0"/>
    <n v="15"/>
    <n v="106.14"/>
    <n v="1592.1"/>
    <d v="2025-08-25T00:00:00"/>
    <x v="3"/>
    <x v="13"/>
    <x v="4"/>
    <x v="7"/>
  </r>
  <r>
    <s v="TXN027"/>
    <x v="2"/>
    <x v="2"/>
    <n v="1"/>
    <n v="5099.8599999999997"/>
    <n v="5099.8599999999997"/>
    <d v="2025-01-10T00:00:00"/>
    <x v="2"/>
    <x v="3"/>
    <x v="5"/>
    <x v="3"/>
  </r>
  <r>
    <s v="TXN028"/>
    <x v="0"/>
    <x v="0"/>
    <n v="6"/>
    <n v="187.26"/>
    <n v="1123.56"/>
    <d v="2025-08-10T00:00:00"/>
    <x v="0"/>
    <x v="9"/>
    <x v="1"/>
    <x v="7"/>
  </r>
  <r>
    <s v="TXN029"/>
    <x v="8"/>
    <x v="5"/>
    <n v="5"/>
    <n v="30.33"/>
    <n v="151.65"/>
    <d v="2025-11-10T00:00:00"/>
    <x v="3"/>
    <x v="3"/>
    <x v="4"/>
    <x v="5"/>
  </r>
  <r>
    <s v="TXN030"/>
    <x v="4"/>
    <x v="4"/>
    <n v="4"/>
    <n v="232.03"/>
    <n v="928.12"/>
    <d v="2025-06-15T00:00:00"/>
    <x v="3"/>
    <x v="5"/>
    <x v="1"/>
    <x v="11"/>
  </r>
  <r>
    <s v="TXN031"/>
    <x v="9"/>
    <x v="4"/>
    <n v="16"/>
    <n v="980.67"/>
    <n v="15690.72"/>
    <d v="2025-05-13T00:00:00"/>
    <x v="4"/>
    <x v="1"/>
    <x v="3"/>
    <x v="10"/>
  </r>
  <r>
    <s v="TXN032"/>
    <x v="2"/>
    <x v="2"/>
    <n v="1"/>
    <n v="5760.09"/>
    <n v="5760.09"/>
    <d v="2025-01-08T00:00:00"/>
    <x v="0"/>
    <x v="5"/>
    <x v="2"/>
    <x v="3"/>
  </r>
  <r>
    <s v="TXN033"/>
    <x v="7"/>
    <x v="4"/>
    <n v="18"/>
    <n v="296.04000000000002"/>
    <n v="5328.72"/>
    <d v="2025-01-14T00:00:00"/>
    <x v="0"/>
    <x v="6"/>
    <x v="3"/>
    <x v="3"/>
  </r>
  <r>
    <s v="TXN034"/>
    <x v="0"/>
    <x v="0"/>
    <n v="3"/>
    <n v="106.75"/>
    <n v="320.25"/>
    <d v="2025-04-20T00:00:00"/>
    <x v="1"/>
    <x v="9"/>
    <x v="1"/>
    <x v="0"/>
  </r>
  <r>
    <s v="TXN035"/>
    <x v="2"/>
    <x v="2"/>
    <n v="1"/>
    <n v="5563.23"/>
    <n v="5563.23"/>
    <d v="2025-10-26T00:00:00"/>
    <x v="0"/>
    <x v="14"/>
    <x v="1"/>
    <x v="8"/>
  </r>
  <r>
    <s v="TXN036"/>
    <x v="3"/>
    <x v="3"/>
    <n v="13"/>
    <n v="2.62"/>
    <n v="34.06"/>
    <d v="2025-10-19T00:00:00"/>
    <x v="3"/>
    <x v="3"/>
    <x v="1"/>
    <x v="8"/>
  </r>
  <r>
    <s v="TXN037"/>
    <x v="5"/>
    <x v="3"/>
    <n v="8"/>
    <n v="12.63"/>
    <n v="101.04"/>
    <d v="2025-09-11T00:00:00"/>
    <x v="3"/>
    <x v="13"/>
    <x v="6"/>
    <x v="2"/>
  </r>
  <r>
    <s v="TXN038"/>
    <x v="6"/>
    <x v="0"/>
    <n v="2"/>
    <n v="124.14"/>
    <n v="248.28"/>
    <d v="2025-05-08T00:00:00"/>
    <x v="2"/>
    <x v="15"/>
    <x v="6"/>
    <x v="10"/>
  </r>
  <r>
    <s v="TXN039"/>
    <x v="9"/>
    <x v="4"/>
    <n v="4"/>
    <n v="989.93"/>
    <n v="3959.72"/>
    <d v="2025-10-06T00:00:00"/>
    <x v="2"/>
    <x v="16"/>
    <x v="4"/>
    <x v="8"/>
  </r>
  <r>
    <s v="TXN040"/>
    <x v="4"/>
    <x v="4"/>
    <n v="3"/>
    <n v="170.05"/>
    <n v="510.15"/>
    <d v="2025-09-02T00:00:00"/>
    <x v="4"/>
    <x v="13"/>
    <x v="3"/>
    <x v="2"/>
  </r>
  <r>
    <s v="TXN041"/>
    <x v="5"/>
    <x v="3"/>
    <n v="8"/>
    <n v="13.86"/>
    <n v="110.88"/>
    <d v="2025-06-13T00:00:00"/>
    <x v="3"/>
    <x v="9"/>
    <x v="5"/>
    <x v="11"/>
  </r>
  <r>
    <s v="TXN042"/>
    <x v="6"/>
    <x v="0"/>
    <n v="3"/>
    <n v="108.27"/>
    <n v="324.81"/>
    <d v="2025-08-25T00:00:00"/>
    <x v="2"/>
    <x v="12"/>
    <x v="4"/>
    <x v="7"/>
  </r>
  <r>
    <s v="TXN043"/>
    <x v="9"/>
    <x v="4"/>
    <n v="9"/>
    <n v="832.13"/>
    <n v="7489.17"/>
    <d v="2025-04-27T00:00:00"/>
    <x v="0"/>
    <x v="12"/>
    <x v="1"/>
    <x v="0"/>
  </r>
  <r>
    <s v="TXN044"/>
    <x v="1"/>
    <x v="1"/>
    <n v="16"/>
    <n v="13.07"/>
    <n v="209.12"/>
    <d v="2025-01-03T00:00:00"/>
    <x v="0"/>
    <x v="8"/>
    <x v="5"/>
    <x v="3"/>
  </r>
  <r>
    <s v="TXN045"/>
    <x v="9"/>
    <x v="4"/>
    <n v="12"/>
    <n v="835.25"/>
    <n v="10023"/>
    <d v="2025-08-05T00:00:00"/>
    <x v="4"/>
    <x v="14"/>
    <x v="3"/>
    <x v="7"/>
  </r>
  <r>
    <s v="TXN046"/>
    <x v="1"/>
    <x v="1"/>
    <n v="11"/>
    <n v="14.43"/>
    <n v="158.72999999999999"/>
    <d v="2025-04-10T00:00:00"/>
    <x v="1"/>
    <x v="3"/>
    <x v="6"/>
    <x v="0"/>
  </r>
  <r>
    <s v="TXN047"/>
    <x v="7"/>
    <x v="4"/>
    <n v="20"/>
    <n v="227.87"/>
    <n v="4557.3999999999996"/>
    <d v="2025-05-01T00:00:00"/>
    <x v="2"/>
    <x v="17"/>
    <x v="6"/>
    <x v="10"/>
  </r>
  <r>
    <s v="TXN048"/>
    <x v="3"/>
    <x v="3"/>
    <n v="15"/>
    <n v="2.36"/>
    <n v="35.4"/>
    <d v="2025-01-16T00:00:00"/>
    <x v="4"/>
    <x v="18"/>
    <x v="6"/>
    <x v="3"/>
  </r>
  <r>
    <s v="TXN049"/>
    <x v="1"/>
    <x v="1"/>
    <n v="11"/>
    <n v="6.42"/>
    <n v="70.62"/>
    <d v="2025-08-01T00:00:00"/>
    <x v="3"/>
    <x v="10"/>
    <x v="5"/>
    <x v="7"/>
  </r>
  <r>
    <s v="TXN050"/>
    <x v="0"/>
    <x v="0"/>
    <n v="16"/>
    <n v="163.77000000000001"/>
    <n v="2620.3200000000002"/>
    <d v="2025-02-27T00:00:00"/>
    <x v="4"/>
    <x v="0"/>
    <x v="6"/>
    <x v="4"/>
  </r>
  <r>
    <s v="TXN051"/>
    <x v="6"/>
    <x v="0"/>
    <n v="10"/>
    <n v="122.34"/>
    <n v="1223.4000000000001"/>
    <d v="2025-07-31T00:00:00"/>
    <x v="1"/>
    <x v="6"/>
    <x v="6"/>
    <x v="1"/>
  </r>
  <r>
    <s v="TXN052"/>
    <x v="9"/>
    <x v="4"/>
    <n v="1"/>
    <n v="876.63"/>
    <n v="876.63"/>
    <d v="2025-05-09T00:00:00"/>
    <x v="2"/>
    <x v="9"/>
    <x v="5"/>
    <x v="10"/>
  </r>
  <r>
    <s v="TXN053"/>
    <x v="4"/>
    <x v="4"/>
    <n v="9"/>
    <n v="240.89"/>
    <n v="2168.0100000000002"/>
    <d v="2025-07-06T00:00:00"/>
    <x v="4"/>
    <x v="14"/>
    <x v="1"/>
    <x v="1"/>
  </r>
  <r>
    <s v="TXN054"/>
    <x v="9"/>
    <x v="4"/>
    <n v="14"/>
    <n v="812.03"/>
    <n v="11368.42"/>
    <d v="2025-01-01T00:00:00"/>
    <x v="4"/>
    <x v="14"/>
    <x v="2"/>
    <x v="3"/>
  </r>
  <r>
    <s v="TXN055"/>
    <x v="0"/>
    <x v="0"/>
    <n v="20"/>
    <n v="183.44"/>
    <n v="3668.8"/>
    <d v="2025-12-08T00:00:00"/>
    <x v="0"/>
    <x v="15"/>
    <x v="4"/>
    <x v="6"/>
  </r>
  <r>
    <s v="TXN056"/>
    <x v="0"/>
    <x v="0"/>
    <n v="3"/>
    <n v="116.49"/>
    <n v="349.47"/>
    <d v="2025-09-24T00:00:00"/>
    <x v="4"/>
    <x v="9"/>
    <x v="2"/>
    <x v="2"/>
  </r>
  <r>
    <s v="TXN057"/>
    <x v="8"/>
    <x v="5"/>
    <n v="5"/>
    <n v="21.65"/>
    <n v="108.25"/>
    <d v="2025-02-04T00:00:00"/>
    <x v="2"/>
    <x v="9"/>
    <x v="3"/>
    <x v="4"/>
  </r>
  <r>
    <s v="TXN058"/>
    <x v="5"/>
    <x v="3"/>
    <n v="17"/>
    <n v="11.86"/>
    <n v="201.62"/>
    <d v="2025-11-28T00:00:00"/>
    <x v="2"/>
    <x v="0"/>
    <x v="5"/>
    <x v="5"/>
  </r>
  <r>
    <s v="TXN059"/>
    <x v="0"/>
    <x v="0"/>
    <n v="20"/>
    <n v="149.44999999999999"/>
    <n v="2989"/>
    <d v="2025-07-10T00:00:00"/>
    <x v="1"/>
    <x v="12"/>
    <x v="6"/>
    <x v="1"/>
  </r>
  <r>
    <s v="TXN060"/>
    <x v="7"/>
    <x v="4"/>
    <n v="11"/>
    <n v="348.44"/>
    <n v="3832.84"/>
    <d v="2025-05-28T00:00:00"/>
    <x v="2"/>
    <x v="3"/>
    <x v="2"/>
    <x v="10"/>
  </r>
  <r>
    <s v="TXN061"/>
    <x v="9"/>
    <x v="4"/>
    <n v="20"/>
    <n v="920.32"/>
    <n v="18406.400000000001"/>
    <d v="2025-11-17T00:00:00"/>
    <x v="0"/>
    <x v="9"/>
    <x v="4"/>
    <x v="5"/>
  </r>
  <r>
    <s v="TXN062"/>
    <x v="4"/>
    <x v="4"/>
    <n v="5"/>
    <n v="292.98"/>
    <n v="1464.9"/>
    <d v="2025-08-20T00:00:00"/>
    <x v="4"/>
    <x v="11"/>
    <x v="2"/>
    <x v="7"/>
  </r>
  <r>
    <s v="TXN063"/>
    <x v="6"/>
    <x v="0"/>
    <n v="18"/>
    <n v="167.63"/>
    <n v="3017.34"/>
    <d v="2025-05-02T00:00:00"/>
    <x v="1"/>
    <x v="13"/>
    <x v="5"/>
    <x v="10"/>
  </r>
  <r>
    <s v="TXN064"/>
    <x v="1"/>
    <x v="1"/>
    <n v="13"/>
    <n v="14.39"/>
    <n v="187.07"/>
    <d v="2025-10-29T00:00:00"/>
    <x v="3"/>
    <x v="0"/>
    <x v="2"/>
    <x v="8"/>
  </r>
  <r>
    <s v="TXN065"/>
    <x v="1"/>
    <x v="1"/>
    <n v="3"/>
    <n v="6.34"/>
    <n v="19.02"/>
    <d v="2025-05-02T00:00:00"/>
    <x v="1"/>
    <x v="0"/>
    <x v="5"/>
    <x v="10"/>
  </r>
  <r>
    <s v="TXN066"/>
    <x v="7"/>
    <x v="4"/>
    <n v="5"/>
    <n v="227.26"/>
    <n v="1136.3"/>
    <d v="2025-06-30T00:00:00"/>
    <x v="4"/>
    <x v="9"/>
    <x v="4"/>
    <x v="11"/>
  </r>
  <r>
    <s v="TXN067"/>
    <x v="3"/>
    <x v="3"/>
    <n v="12"/>
    <n v="2.2000000000000002"/>
    <n v="26.4"/>
    <d v="2025-06-15T00:00:00"/>
    <x v="3"/>
    <x v="4"/>
    <x v="1"/>
    <x v="11"/>
  </r>
  <r>
    <s v="TXN068"/>
    <x v="0"/>
    <x v="0"/>
    <n v="15"/>
    <n v="163.44999999999999"/>
    <n v="2451.75"/>
    <d v="2025-04-08T00:00:00"/>
    <x v="4"/>
    <x v="4"/>
    <x v="3"/>
    <x v="0"/>
  </r>
  <r>
    <s v="TXN069"/>
    <x v="3"/>
    <x v="3"/>
    <n v="10"/>
    <n v="1.38"/>
    <n v="13.8"/>
    <d v="2025-11-30T00:00:00"/>
    <x v="1"/>
    <x v="16"/>
    <x v="1"/>
    <x v="5"/>
  </r>
  <r>
    <s v="TXN070"/>
    <x v="0"/>
    <x v="0"/>
    <n v="11"/>
    <n v="118"/>
    <n v="1298"/>
    <d v="2025-03-19T00:00:00"/>
    <x v="3"/>
    <x v="7"/>
    <x v="2"/>
    <x v="9"/>
  </r>
  <r>
    <s v="TXN071"/>
    <x v="1"/>
    <x v="1"/>
    <n v="7"/>
    <n v="14.31"/>
    <n v="100.17"/>
    <d v="2025-02-03T00:00:00"/>
    <x v="3"/>
    <x v="18"/>
    <x v="4"/>
    <x v="4"/>
  </r>
  <r>
    <s v="TXN072"/>
    <x v="3"/>
    <x v="3"/>
    <n v="5"/>
    <n v="1.97"/>
    <n v="9.85"/>
    <d v="2025-05-20T00:00:00"/>
    <x v="0"/>
    <x v="6"/>
    <x v="3"/>
    <x v="10"/>
  </r>
  <r>
    <s v="TXN073"/>
    <x v="9"/>
    <x v="4"/>
    <n v="2"/>
    <n v="979.47"/>
    <n v="1958.94"/>
    <d v="2025-08-13T00:00:00"/>
    <x v="0"/>
    <x v="8"/>
    <x v="2"/>
    <x v="7"/>
  </r>
  <r>
    <s v="TXN074"/>
    <x v="8"/>
    <x v="5"/>
    <n v="5"/>
    <n v="46.27"/>
    <n v="231.35"/>
    <d v="2025-05-20T00:00:00"/>
    <x v="2"/>
    <x v="1"/>
    <x v="3"/>
    <x v="10"/>
  </r>
  <r>
    <s v="TXN075"/>
    <x v="1"/>
    <x v="1"/>
    <n v="8"/>
    <n v="10.97"/>
    <n v="87.76"/>
    <d v="2025-12-27T00:00:00"/>
    <x v="4"/>
    <x v="8"/>
    <x v="0"/>
    <x v="6"/>
  </r>
  <r>
    <s v="TXN076"/>
    <x v="9"/>
    <x v="4"/>
    <n v="2"/>
    <n v="903.12"/>
    <n v="1806.24"/>
    <d v="2025-02-04T00:00:00"/>
    <x v="0"/>
    <x v="17"/>
    <x v="3"/>
    <x v="4"/>
  </r>
  <r>
    <s v="TXN077"/>
    <x v="4"/>
    <x v="4"/>
    <n v="18"/>
    <n v="281.14"/>
    <n v="5060.5200000000004"/>
    <d v="2025-10-06T00:00:00"/>
    <x v="3"/>
    <x v="15"/>
    <x v="4"/>
    <x v="8"/>
  </r>
  <r>
    <s v="TXN078"/>
    <x v="3"/>
    <x v="3"/>
    <n v="5"/>
    <n v="2.5499999999999998"/>
    <n v="12.75"/>
    <d v="2025-02-12T00:00:00"/>
    <x v="0"/>
    <x v="10"/>
    <x v="2"/>
    <x v="4"/>
  </r>
  <r>
    <s v="TXN079"/>
    <x v="5"/>
    <x v="3"/>
    <n v="4"/>
    <n v="10.43"/>
    <n v="41.72"/>
    <d v="2025-09-01T00:00:00"/>
    <x v="2"/>
    <x v="16"/>
    <x v="4"/>
    <x v="2"/>
  </r>
  <r>
    <s v="TXN080"/>
    <x v="4"/>
    <x v="4"/>
    <n v="6"/>
    <n v="189.82"/>
    <n v="1138.92"/>
    <d v="2025-11-15T00:00:00"/>
    <x v="4"/>
    <x v="4"/>
    <x v="0"/>
    <x v="5"/>
  </r>
  <r>
    <s v="TXN081"/>
    <x v="7"/>
    <x v="4"/>
    <n v="12"/>
    <n v="299.72000000000003"/>
    <n v="3596.64"/>
    <d v="2025-02-27T00:00:00"/>
    <x v="2"/>
    <x v="7"/>
    <x v="6"/>
    <x v="4"/>
  </r>
  <r>
    <s v="TXN082"/>
    <x v="1"/>
    <x v="1"/>
    <n v="12"/>
    <n v="12.08"/>
    <n v="144.96"/>
    <d v="2025-01-10T00:00:00"/>
    <x v="1"/>
    <x v="9"/>
    <x v="5"/>
    <x v="3"/>
  </r>
  <r>
    <s v="TXN083"/>
    <x v="2"/>
    <x v="2"/>
    <n v="1"/>
    <n v="9357.86"/>
    <n v="9357.86"/>
    <d v="2025-12-02T00:00:00"/>
    <x v="0"/>
    <x v="11"/>
    <x v="3"/>
    <x v="6"/>
  </r>
  <r>
    <s v="TXN084"/>
    <x v="2"/>
    <x v="2"/>
    <n v="1"/>
    <n v="7221.2"/>
    <n v="7221.2"/>
    <d v="2025-09-04T00:00:00"/>
    <x v="0"/>
    <x v="19"/>
    <x v="6"/>
    <x v="2"/>
  </r>
  <r>
    <s v="TXN085"/>
    <x v="6"/>
    <x v="0"/>
    <n v="19"/>
    <n v="124.01"/>
    <n v="2356.19"/>
    <d v="2025-05-22T00:00:00"/>
    <x v="4"/>
    <x v="1"/>
    <x v="6"/>
    <x v="10"/>
  </r>
  <r>
    <s v="TXN086"/>
    <x v="6"/>
    <x v="0"/>
    <n v="5"/>
    <n v="153.07"/>
    <n v="765.35"/>
    <d v="2025-03-07T00:00:00"/>
    <x v="0"/>
    <x v="5"/>
    <x v="5"/>
    <x v="9"/>
  </r>
  <r>
    <s v="TXN087"/>
    <x v="0"/>
    <x v="0"/>
    <n v="15"/>
    <n v="165.58"/>
    <n v="2483.6999999999998"/>
    <d v="2025-04-29T00:00:00"/>
    <x v="0"/>
    <x v="10"/>
    <x v="3"/>
    <x v="0"/>
  </r>
  <r>
    <s v="TXN088"/>
    <x v="2"/>
    <x v="2"/>
    <n v="1"/>
    <n v="5555.59"/>
    <n v="5555.59"/>
    <d v="2025-04-20T00:00:00"/>
    <x v="3"/>
    <x v="10"/>
    <x v="1"/>
    <x v="0"/>
  </r>
  <r>
    <s v="TXN089"/>
    <x v="6"/>
    <x v="0"/>
    <n v="6"/>
    <n v="150.57"/>
    <n v="903.42"/>
    <d v="2025-07-23T00:00:00"/>
    <x v="0"/>
    <x v="11"/>
    <x v="2"/>
    <x v="1"/>
  </r>
  <r>
    <s v="TXN090"/>
    <x v="9"/>
    <x v="4"/>
    <n v="6"/>
    <n v="832.8"/>
    <n v="4996.8"/>
    <d v="2025-11-06T00:00:00"/>
    <x v="1"/>
    <x v="14"/>
    <x v="6"/>
    <x v="5"/>
  </r>
  <r>
    <s v="TXN091"/>
    <x v="0"/>
    <x v="0"/>
    <n v="15"/>
    <n v="195.46"/>
    <n v="2931.9"/>
    <d v="2025-09-09T00:00:00"/>
    <x v="4"/>
    <x v="10"/>
    <x v="3"/>
    <x v="2"/>
  </r>
  <r>
    <s v="TXN092"/>
    <x v="1"/>
    <x v="1"/>
    <n v="7"/>
    <n v="11.95"/>
    <n v="83.65"/>
    <d v="2025-09-19T00:00:00"/>
    <x v="4"/>
    <x v="19"/>
    <x v="5"/>
    <x v="2"/>
  </r>
  <r>
    <s v="TXN093"/>
    <x v="7"/>
    <x v="4"/>
    <n v="4"/>
    <n v="246.9"/>
    <n v="987.6"/>
    <d v="2025-11-05T00:00:00"/>
    <x v="1"/>
    <x v="4"/>
    <x v="2"/>
    <x v="5"/>
  </r>
  <r>
    <s v="TXN094"/>
    <x v="9"/>
    <x v="4"/>
    <n v="7"/>
    <n v="900.44"/>
    <n v="6303.08"/>
    <d v="2025-08-29T00:00:00"/>
    <x v="1"/>
    <x v="19"/>
    <x v="5"/>
    <x v="7"/>
  </r>
  <r>
    <s v="TXN095"/>
    <x v="0"/>
    <x v="0"/>
    <n v="12"/>
    <n v="181.86"/>
    <n v="2182.3200000000002"/>
    <d v="2025-02-21T00:00:00"/>
    <x v="4"/>
    <x v="13"/>
    <x v="5"/>
    <x v="4"/>
  </r>
  <r>
    <s v="TXN096"/>
    <x v="0"/>
    <x v="0"/>
    <n v="1"/>
    <n v="153.21"/>
    <n v="153.21"/>
    <d v="2025-03-15T00:00:00"/>
    <x v="0"/>
    <x v="0"/>
    <x v="0"/>
    <x v="9"/>
  </r>
  <r>
    <s v="TXN097"/>
    <x v="0"/>
    <x v="0"/>
    <n v="2"/>
    <n v="109.08"/>
    <n v="218.16"/>
    <d v="2025-08-23T00:00:00"/>
    <x v="1"/>
    <x v="14"/>
    <x v="0"/>
    <x v="7"/>
  </r>
  <r>
    <s v="TXN098"/>
    <x v="8"/>
    <x v="5"/>
    <n v="12"/>
    <n v="21.39"/>
    <n v="256.68"/>
    <d v="2025-09-16T00:00:00"/>
    <x v="3"/>
    <x v="1"/>
    <x v="3"/>
    <x v="2"/>
  </r>
  <r>
    <s v="TXN099"/>
    <x v="2"/>
    <x v="2"/>
    <n v="1"/>
    <n v="9534.43"/>
    <n v="9534.43"/>
    <d v="2025-04-29T00:00:00"/>
    <x v="2"/>
    <x v="3"/>
    <x v="3"/>
    <x v="0"/>
  </r>
  <r>
    <s v="TXN100"/>
    <x v="8"/>
    <x v="5"/>
    <n v="10"/>
    <n v="20.399999999999999"/>
    <n v="204"/>
    <d v="2025-11-23T00:00:00"/>
    <x v="4"/>
    <x v="8"/>
    <x v="1"/>
    <x v="5"/>
  </r>
  <r>
    <s v="TXN101"/>
    <x v="8"/>
    <x v="5"/>
    <n v="17"/>
    <n v="24.34"/>
    <n v="413.78"/>
    <d v="2025-10-05T00:00:00"/>
    <x v="3"/>
    <x v="4"/>
    <x v="1"/>
    <x v="8"/>
  </r>
  <r>
    <s v="TXN102"/>
    <x v="4"/>
    <x v="4"/>
    <n v="1"/>
    <n v="214.63"/>
    <n v="214.63"/>
    <d v="2025-08-02T00:00:00"/>
    <x v="0"/>
    <x v="7"/>
    <x v="0"/>
    <x v="7"/>
  </r>
  <r>
    <s v="TXN103"/>
    <x v="2"/>
    <x v="2"/>
    <n v="1"/>
    <n v="8578.7199999999993"/>
    <n v="8578.7199999999993"/>
    <d v="2025-10-04T00:00:00"/>
    <x v="0"/>
    <x v="16"/>
    <x v="0"/>
    <x v="8"/>
  </r>
  <r>
    <s v="TXN104"/>
    <x v="5"/>
    <x v="3"/>
    <n v="11"/>
    <n v="11.27"/>
    <n v="123.97"/>
    <d v="2025-08-29T00:00:00"/>
    <x v="1"/>
    <x v="8"/>
    <x v="5"/>
    <x v="7"/>
  </r>
  <r>
    <s v="TXN105"/>
    <x v="9"/>
    <x v="4"/>
    <n v="1"/>
    <n v="848.76"/>
    <n v="848.76"/>
    <d v="2025-12-25T00:00:00"/>
    <x v="1"/>
    <x v="16"/>
    <x v="6"/>
    <x v="6"/>
  </r>
  <r>
    <s v="TXN106"/>
    <x v="6"/>
    <x v="0"/>
    <n v="6"/>
    <n v="115.95"/>
    <n v="695.7"/>
    <d v="2025-12-24T00:00:00"/>
    <x v="3"/>
    <x v="7"/>
    <x v="2"/>
    <x v="6"/>
  </r>
  <r>
    <s v="TXN107"/>
    <x v="6"/>
    <x v="0"/>
    <n v="2"/>
    <n v="124.67"/>
    <n v="249.34"/>
    <d v="2025-08-09T00:00:00"/>
    <x v="0"/>
    <x v="18"/>
    <x v="0"/>
    <x v="7"/>
  </r>
  <r>
    <s v="TXN108"/>
    <x v="8"/>
    <x v="5"/>
    <n v="16"/>
    <n v="23.11"/>
    <n v="369.76"/>
    <d v="2025-08-25T00:00:00"/>
    <x v="2"/>
    <x v="3"/>
    <x v="4"/>
    <x v="7"/>
  </r>
  <r>
    <s v="TXN109"/>
    <x v="4"/>
    <x v="4"/>
    <n v="6"/>
    <n v="286.22000000000003"/>
    <n v="1717.32"/>
    <d v="2025-10-06T00:00:00"/>
    <x v="3"/>
    <x v="5"/>
    <x v="4"/>
    <x v="8"/>
  </r>
  <r>
    <s v="TXN110"/>
    <x v="6"/>
    <x v="0"/>
    <n v="14"/>
    <n v="175.56"/>
    <n v="2457.84"/>
    <d v="2025-08-17T00:00:00"/>
    <x v="2"/>
    <x v="4"/>
    <x v="1"/>
    <x v="7"/>
  </r>
  <r>
    <s v="TXN111"/>
    <x v="8"/>
    <x v="5"/>
    <n v="20"/>
    <n v="27.36"/>
    <n v="547.20000000000005"/>
    <d v="2025-03-08T00:00:00"/>
    <x v="0"/>
    <x v="17"/>
    <x v="0"/>
    <x v="9"/>
  </r>
  <r>
    <s v="TXN112"/>
    <x v="2"/>
    <x v="2"/>
    <n v="1"/>
    <n v="7628.02"/>
    <n v="7628.02"/>
    <d v="2025-06-06T00:00:00"/>
    <x v="4"/>
    <x v="19"/>
    <x v="5"/>
    <x v="11"/>
  </r>
  <r>
    <s v="TXN113"/>
    <x v="1"/>
    <x v="1"/>
    <n v="19"/>
    <n v="11.32"/>
    <n v="215.08"/>
    <d v="2025-07-11T00:00:00"/>
    <x v="4"/>
    <x v="4"/>
    <x v="5"/>
    <x v="1"/>
  </r>
  <r>
    <s v="TXN114"/>
    <x v="3"/>
    <x v="3"/>
    <n v="15"/>
    <n v="2.4900000000000002"/>
    <n v="37.35"/>
    <d v="2025-01-02T00:00:00"/>
    <x v="0"/>
    <x v="12"/>
    <x v="6"/>
    <x v="3"/>
  </r>
  <r>
    <s v="TXN115"/>
    <x v="0"/>
    <x v="0"/>
    <n v="18"/>
    <n v="150.19999999999999"/>
    <n v="2703.6"/>
    <d v="2025-04-26T00:00:00"/>
    <x v="0"/>
    <x v="0"/>
    <x v="0"/>
    <x v="0"/>
  </r>
  <r>
    <s v="TXN116"/>
    <x v="6"/>
    <x v="0"/>
    <n v="19"/>
    <n v="174.66"/>
    <n v="3318.54"/>
    <d v="2025-08-12T00:00:00"/>
    <x v="4"/>
    <x v="10"/>
    <x v="3"/>
    <x v="7"/>
  </r>
  <r>
    <s v="TXN117"/>
    <x v="4"/>
    <x v="4"/>
    <n v="15"/>
    <n v="194.47"/>
    <n v="2917.05"/>
    <d v="2025-09-07T00:00:00"/>
    <x v="3"/>
    <x v="12"/>
    <x v="1"/>
    <x v="2"/>
  </r>
  <r>
    <s v="TXN118"/>
    <x v="5"/>
    <x v="3"/>
    <n v="16"/>
    <n v="19.45"/>
    <n v="311.2"/>
    <d v="2025-01-08T00:00:00"/>
    <x v="4"/>
    <x v="15"/>
    <x v="2"/>
    <x v="3"/>
  </r>
  <r>
    <s v="TXN119"/>
    <x v="1"/>
    <x v="1"/>
    <n v="19"/>
    <n v="9.39"/>
    <n v="178.41"/>
    <d v="2025-12-19T00:00:00"/>
    <x v="0"/>
    <x v="2"/>
    <x v="5"/>
    <x v="6"/>
  </r>
  <r>
    <s v="TXN120"/>
    <x v="8"/>
    <x v="5"/>
    <n v="12"/>
    <n v="38.94"/>
    <n v="467.28"/>
    <d v="2025-12-27T00:00:00"/>
    <x v="4"/>
    <x v="0"/>
    <x v="0"/>
    <x v="6"/>
  </r>
  <r>
    <s v="TXN121"/>
    <x v="2"/>
    <x v="2"/>
    <n v="1"/>
    <n v="6771.79"/>
    <n v="6771.79"/>
    <d v="2025-04-10T00:00:00"/>
    <x v="0"/>
    <x v="7"/>
    <x v="6"/>
    <x v="0"/>
  </r>
  <r>
    <s v="TXN122"/>
    <x v="6"/>
    <x v="0"/>
    <n v="2"/>
    <n v="186.73"/>
    <n v="373.46"/>
    <d v="2025-06-19T00:00:00"/>
    <x v="3"/>
    <x v="1"/>
    <x v="6"/>
    <x v="11"/>
  </r>
  <r>
    <s v="TXN123"/>
    <x v="1"/>
    <x v="1"/>
    <n v="16"/>
    <n v="12.78"/>
    <n v="204.48"/>
    <d v="2025-02-20T00:00:00"/>
    <x v="1"/>
    <x v="3"/>
    <x v="6"/>
    <x v="4"/>
  </r>
  <r>
    <s v="TXN124"/>
    <x v="3"/>
    <x v="3"/>
    <n v="1"/>
    <n v="2.72"/>
    <n v="2.72"/>
    <d v="2025-03-30T00:00:00"/>
    <x v="2"/>
    <x v="19"/>
    <x v="1"/>
    <x v="9"/>
  </r>
  <r>
    <s v="TXN125"/>
    <x v="0"/>
    <x v="0"/>
    <n v="6"/>
    <n v="118.67"/>
    <n v="712.02"/>
    <d v="2025-01-20T00:00:00"/>
    <x v="0"/>
    <x v="18"/>
    <x v="4"/>
    <x v="3"/>
  </r>
  <r>
    <s v="TXN126"/>
    <x v="9"/>
    <x v="4"/>
    <n v="4"/>
    <n v="994.88"/>
    <n v="3979.52"/>
    <d v="2025-04-03T00:00:00"/>
    <x v="2"/>
    <x v="14"/>
    <x v="6"/>
    <x v="0"/>
  </r>
  <r>
    <s v="TXN127"/>
    <x v="5"/>
    <x v="3"/>
    <n v="3"/>
    <n v="18.63"/>
    <n v="55.89"/>
    <d v="2025-05-11T00:00:00"/>
    <x v="1"/>
    <x v="19"/>
    <x v="1"/>
    <x v="10"/>
  </r>
  <r>
    <s v="TXN128"/>
    <x v="1"/>
    <x v="1"/>
    <n v="8"/>
    <n v="12.92"/>
    <n v="103.36"/>
    <d v="2025-07-31T00:00:00"/>
    <x v="2"/>
    <x v="7"/>
    <x v="6"/>
    <x v="1"/>
  </r>
  <r>
    <s v="TXN129"/>
    <x v="5"/>
    <x v="3"/>
    <n v="10"/>
    <n v="14.97"/>
    <n v="149.69999999999999"/>
    <d v="2025-05-01T00:00:00"/>
    <x v="4"/>
    <x v="10"/>
    <x v="6"/>
    <x v="10"/>
  </r>
  <r>
    <s v="TXN130"/>
    <x v="8"/>
    <x v="5"/>
    <n v="10"/>
    <n v="26.48"/>
    <n v="264.8"/>
    <d v="2025-04-20T00:00:00"/>
    <x v="1"/>
    <x v="1"/>
    <x v="1"/>
    <x v="0"/>
  </r>
  <r>
    <s v="TXN131"/>
    <x v="7"/>
    <x v="4"/>
    <n v="11"/>
    <n v="301.04000000000002"/>
    <n v="3311.44"/>
    <d v="2025-05-18T00:00:00"/>
    <x v="4"/>
    <x v="1"/>
    <x v="1"/>
    <x v="10"/>
  </r>
  <r>
    <s v="TXN132"/>
    <x v="1"/>
    <x v="1"/>
    <n v="16"/>
    <n v="13.81"/>
    <n v="220.96"/>
    <d v="2025-12-16T00:00:00"/>
    <x v="2"/>
    <x v="1"/>
    <x v="3"/>
    <x v="6"/>
  </r>
  <r>
    <s v="TXN133"/>
    <x v="2"/>
    <x v="2"/>
    <n v="1"/>
    <n v="8878.61"/>
    <n v="8878.61"/>
    <d v="2025-09-20T00:00:00"/>
    <x v="4"/>
    <x v="19"/>
    <x v="0"/>
    <x v="2"/>
  </r>
  <r>
    <s v="TXN134"/>
    <x v="9"/>
    <x v="4"/>
    <n v="17"/>
    <n v="830.68"/>
    <n v="14121.56"/>
    <d v="2025-04-21T00:00:00"/>
    <x v="3"/>
    <x v="4"/>
    <x v="4"/>
    <x v="0"/>
  </r>
  <r>
    <s v="TXN135"/>
    <x v="0"/>
    <x v="0"/>
    <n v="5"/>
    <n v="106.3"/>
    <n v="531.5"/>
    <d v="2025-12-28T00:00:00"/>
    <x v="1"/>
    <x v="18"/>
    <x v="1"/>
    <x v="6"/>
  </r>
  <r>
    <s v="TXN136"/>
    <x v="5"/>
    <x v="3"/>
    <n v="5"/>
    <n v="14.07"/>
    <n v="70.349999999999994"/>
    <d v="2025-04-23T00:00:00"/>
    <x v="0"/>
    <x v="14"/>
    <x v="2"/>
    <x v="0"/>
  </r>
  <r>
    <s v="TXN137"/>
    <x v="9"/>
    <x v="4"/>
    <n v="13"/>
    <n v="825.83"/>
    <n v="10735.79"/>
    <d v="2025-03-14T00:00:00"/>
    <x v="1"/>
    <x v="13"/>
    <x v="5"/>
    <x v="9"/>
  </r>
  <r>
    <s v="TXN138"/>
    <x v="8"/>
    <x v="5"/>
    <n v="14"/>
    <n v="44.92"/>
    <n v="628.88"/>
    <d v="2025-10-28T00:00:00"/>
    <x v="2"/>
    <x v="15"/>
    <x v="3"/>
    <x v="8"/>
  </r>
  <r>
    <s v="TXN139"/>
    <x v="7"/>
    <x v="4"/>
    <n v="13"/>
    <n v="239.84"/>
    <n v="3117.92"/>
    <d v="2025-09-24T00:00:00"/>
    <x v="4"/>
    <x v="1"/>
    <x v="2"/>
    <x v="2"/>
  </r>
  <r>
    <s v="TXN140"/>
    <x v="5"/>
    <x v="3"/>
    <n v="8"/>
    <n v="11.53"/>
    <n v="92.24"/>
    <d v="2025-04-29T00:00:00"/>
    <x v="3"/>
    <x v="2"/>
    <x v="3"/>
    <x v="0"/>
  </r>
  <r>
    <s v="TXN141"/>
    <x v="2"/>
    <x v="2"/>
    <n v="1"/>
    <n v="5452.69"/>
    <n v="5452.69"/>
    <d v="2025-05-12T00:00:00"/>
    <x v="2"/>
    <x v="2"/>
    <x v="4"/>
    <x v="10"/>
  </r>
  <r>
    <s v="TXN142"/>
    <x v="2"/>
    <x v="2"/>
    <n v="1"/>
    <n v="6342.34"/>
    <n v="6342.34"/>
    <d v="2025-06-27T00:00:00"/>
    <x v="1"/>
    <x v="8"/>
    <x v="5"/>
    <x v="11"/>
  </r>
  <r>
    <s v="TXN143"/>
    <x v="1"/>
    <x v="1"/>
    <n v="13"/>
    <n v="8.92"/>
    <n v="115.96"/>
    <d v="2025-04-09T00:00:00"/>
    <x v="0"/>
    <x v="6"/>
    <x v="2"/>
    <x v="0"/>
  </r>
  <r>
    <s v="TXN144"/>
    <x v="8"/>
    <x v="5"/>
    <n v="18"/>
    <n v="41.98"/>
    <n v="755.64"/>
    <d v="2025-06-12T00:00:00"/>
    <x v="0"/>
    <x v="0"/>
    <x v="6"/>
    <x v="11"/>
  </r>
  <r>
    <s v="TXN145"/>
    <x v="0"/>
    <x v="0"/>
    <n v="9"/>
    <n v="117.69"/>
    <n v="1059.21"/>
    <d v="2025-11-27T00:00:00"/>
    <x v="1"/>
    <x v="8"/>
    <x v="6"/>
    <x v="5"/>
  </r>
  <r>
    <s v="TXN146"/>
    <x v="0"/>
    <x v="0"/>
    <n v="18"/>
    <n v="108.01"/>
    <n v="1944.18"/>
    <d v="2025-12-11T00:00:00"/>
    <x v="3"/>
    <x v="2"/>
    <x v="6"/>
    <x v="6"/>
  </r>
  <r>
    <s v="TXN147"/>
    <x v="0"/>
    <x v="0"/>
    <n v="16"/>
    <n v="132.19999999999999"/>
    <n v="2115.1999999999998"/>
    <d v="2025-10-26T00:00:00"/>
    <x v="4"/>
    <x v="14"/>
    <x v="1"/>
    <x v="8"/>
  </r>
  <r>
    <s v="TXN148"/>
    <x v="0"/>
    <x v="0"/>
    <n v="17"/>
    <n v="128.36000000000001"/>
    <n v="2182.12"/>
    <d v="2025-10-11T00:00:00"/>
    <x v="2"/>
    <x v="14"/>
    <x v="0"/>
    <x v="8"/>
  </r>
  <r>
    <s v="TXN149"/>
    <x v="4"/>
    <x v="4"/>
    <n v="5"/>
    <n v="237.86"/>
    <n v="1189.3"/>
    <d v="2025-11-15T00:00:00"/>
    <x v="1"/>
    <x v="9"/>
    <x v="0"/>
    <x v="5"/>
  </r>
  <r>
    <s v="TXN150"/>
    <x v="2"/>
    <x v="2"/>
    <n v="1"/>
    <n v="8719.36"/>
    <n v="8719.36"/>
    <d v="2025-10-02T00:00:00"/>
    <x v="3"/>
    <x v="10"/>
    <x v="6"/>
    <x v="8"/>
  </r>
  <r>
    <s v="TXN151"/>
    <x v="8"/>
    <x v="5"/>
    <n v="10"/>
    <n v="32.96"/>
    <n v="329.6"/>
    <d v="2025-07-17T00:00:00"/>
    <x v="3"/>
    <x v="5"/>
    <x v="6"/>
    <x v="1"/>
  </r>
  <r>
    <s v="TXN152"/>
    <x v="2"/>
    <x v="2"/>
    <n v="1"/>
    <n v="9331.61"/>
    <n v="9331.61"/>
    <d v="2025-08-01T00:00:00"/>
    <x v="2"/>
    <x v="12"/>
    <x v="5"/>
    <x v="7"/>
  </r>
  <r>
    <s v="TXN153"/>
    <x v="9"/>
    <x v="4"/>
    <n v="2"/>
    <n v="917.39"/>
    <n v="1834.78"/>
    <d v="2025-08-14T00:00:00"/>
    <x v="1"/>
    <x v="15"/>
    <x v="6"/>
    <x v="7"/>
  </r>
  <r>
    <s v="TXN154"/>
    <x v="8"/>
    <x v="5"/>
    <n v="15"/>
    <n v="21.46"/>
    <n v="321.89999999999998"/>
    <d v="2025-07-20T00:00:00"/>
    <x v="1"/>
    <x v="18"/>
    <x v="1"/>
    <x v="1"/>
  </r>
  <r>
    <s v="TXN155"/>
    <x v="8"/>
    <x v="5"/>
    <n v="11"/>
    <n v="25.81"/>
    <n v="283.91000000000003"/>
    <d v="2025-03-13T00:00:00"/>
    <x v="0"/>
    <x v="4"/>
    <x v="6"/>
    <x v="9"/>
  </r>
  <r>
    <s v="TXN156"/>
    <x v="5"/>
    <x v="3"/>
    <n v="2"/>
    <n v="13.97"/>
    <n v="27.94"/>
    <d v="2025-05-29T00:00:00"/>
    <x v="2"/>
    <x v="17"/>
    <x v="6"/>
    <x v="10"/>
  </r>
  <r>
    <s v="TXN157"/>
    <x v="2"/>
    <x v="2"/>
    <n v="1"/>
    <n v="9193.59"/>
    <n v="9193.59"/>
    <d v="2025-07-27T00:00:00"/>
    <x v="3"/>
    <x v="7"/>
    <x v="1"/>
    <x v="1"/>
  </r>
  <r>
    <s v="TXN158"/>
    <x v="3"/>
    <x v="3"/>
    <n v="16"/>
    <n v="1.71"/>
    <n v="27.36"/>
    <d v="2025-03-06T00:00:00"/>
    <x v="1"/>
    <x v="0"/>
    <x v="6"/>
    <x v="9"/>
  </r>
  <r>
    <s v="TXN159"/>
    <x v="4"/>
    <x v="4"/>
    <n v="3"/>
    <n v="291.77999999999997"/>
    <n v="875.34"/>
    <d v="2025-02-03T00:00:00"/>
    <x v="3"/>
    <x v="9"/>
    <x v="4"/>
    <x v="4"/>
  </r>
  <r>
    <s v="TXN160"/>
    <x v="0"/>
    <x v="0"/>
    <n v="18"/>
    <n v="121.29"/>
    <n v="2183.2199999999998"/>
    <d v="2025-04-23T00:00:00"/>
    <x v="3"/>
    <x v="5"/>
    <x v="2"/>
    <x v="0"/>
  </r>
  <r>
    <s v="TXN161"/>
    <x v="1"/>
    <x v="1"/>
    <n v="6"/>
    <n v="6.38"/>
    <n v="38.28"/>
    <d v="2025-04-05T00:00:00"/>
    <x v="3"/>
    <x v="10"/>
    <x v="0"/>
    <x v="0"/>
  </r>
  <r>
    <s v="TXN162"/>
    <x v="1"/>
    <x v="1"/>
    <n v="11"/>
    <n v="9.93"/>
    <n v="109.23"/>
    <d v="2025-06-13T00:00:00"/>
    <x v="4"/>
    <x v="10"/>
    <x v="5"/>
    <x v="11"/>
  </r>
  <r>
    <s v="TXN163"/>
    <x v="5"/>
    <x v="3"/>
    <n v="6"/>
    <n v="19.54"/>
    <n v="117.24"/>
    <d v="2025-11-07T00:00:00"/>
    <x v="3"/>
    <x v="1"/>
    <x v="5"/>
    <x v="5"/>
  </r>
  <r>
    <s v="TXN164"/>
    <x v="2"/>
    <x v="2"/>
    <n v="1"/>
    <n v="5335.46"/>
    <n v="5335.46"/>
    <d v="2025-05-29T00:00:00"/>
    <x v="3"/>
    <x v="15"/>
    <x v="6"/>
    <x v="10"/>
  </r>
  <r>
    <s v="TXN165"/>
    <x v="4"/>
    <x v="4"/>
    <n v="6"/>
    <n v="182.93"/>
    <n v="1097.58"/>
    <d v="2025-06-06T00:00:00"/>
    <x v="1"/>
    <x v="4"/>
    <x v="5"/>
    <x v="11"/>
  </r>
  <r>
    <s v="TXN166"/>
    <x v="9"/>
    <x v="4"/>
    <n v="4"/>
    <n v="955.86"/>
    <n v="3823.44"/>
    <d v="2025-05-12T00:00:00"/>
    <x v="1"/>
    <x v="19"/>
    <x v="4"/>
    <x v="10"/>
  </r>
  <r>
    <s v="TXN167"/>
    <x v="8"/>
    <x v="5"/>
    <n v="7"/>
    <n v="35.33"/>
    <n v="247.31"/>
    <d v="2025-08-08T00:00:00"/>
    <x v="1"/>
    <x v="9"/>
    <x v="5"/>
    <x v="7"/>
  </r>
  <r>
    <s v="TXN168"/>
    <x v="8"/>
    <x v="5"/>
    <n v="7"/>
    <n v="42.79"/>
    <n v="299.52999999999997"/>
    <d v="2025-06-04T00:00:00"/>
    <x v="4"/>
    <x v="9"/>
    <x v="2"/>
    <x v="11"/>
  </r>
  <r>
    <s v="TXN169"/>
    <x v="7"/>
    <x v="4"/>
    <n v="9"/>
    <n v="285.63"/>
    <n v="2570.67"/>
    <d v="2025-11-27T00:00:00"/>
    <x v="0"/>
    <x v="18"/>
    <x v="6"/>
    <x v="5"/>
  </r>
  <r>
    <s v="TXN170"/>
    <x v="9"/>
    <x v="4"/>
    <n v="6"/>
    <n v="941.67"/>
    <n v="5650.02"/>
    <d v="2025-03-28T00:00:00"/>
    <x v="1"/>
    <x v="7"/>
    <x v="5"/>
    <x v="9"/>
  </r>
  <r>
    <s v="TXN171"/>
    <x v="0"/>
    <x v="0"/>
    <n v="3"/>
    <n v="117.51"/>
    <n v="352.53"/>
    <d v="2025-04-21T00:00:00"/>
    <x v="3"/>
    <x v="9"/>
    <x v="4"/>
    <x v="0"/>
  </r>
  <r>
    <s v="TXN172"/>
    <x v="0"/>
    <x v="0"/>
    <n v="6"/>
    <n v="168.75"/>
    <n v="1012.5"/>
    <d v="2025-07-20T00:00:00"/>
    <x v="4"/>
    <x v="2"/>
    <x v="1"/>
    <x v="1"/>
  </r>
  <r>
    <s v="TXN173"/>
    <x v="0"/>
    <x v="0"/>
    <n v="14"/>
    <n v="128.44"/>
    <n v="1798.16"/>
    <d v="2025-06-07T00:00:00"/>
    <x v="2"/>
    <x v="10"/>
    <x v="0"/>
    <x v="11"/>
  </r>
  <r>
    <s v="TXN174"/>
    <x v="8"/>
    <x v="5"/>
    <n v="10"/>
    <n v="40.54"/>
    <n v="405.4"/>
    <d v="2025-09-27T00:00:00"/>
    <x v="3"/>
    <x v="11"/>
    <x v="0"/>
    <x v="2"/>
  </r>
  <r>
    <s v="TXN175"/>
    <x v="2"/>
    <x v="2"/>
    <n v="1"/>
    <n v="9836.5300000000007"/>
    <n v="9836.5300000000007"/>
    <d v="2025-11-26T00:00:00"/>
    <x v="0"/>
    <x v="10"/>
    <x v="2"/>
    <x v="5"/>
  </r>
  <r>
    <s v="TXN176"/>
    <x v="7"/>
    <x v="4"/>
    <n v="12"/>
    <n v="333.18"/>
    <n v="3998.16"/>
    <d v="2025-12-23T00:00:00"/>
    <x v="0"/>
    <x v="16"/>
    <x v="3"/>
    <x v="6"/>
  </r>
  <r>
    <s v="TXN177"/>
    <x v="3"/>
    <x v="3"/>
    <n v="17"/>
    <n v="1.86"/>
    <n v="31.62"/>
    <d v="2025-11-10T00:00:00"/>
    <x v="1"/>
    <x v="14"/>
    <x v="4"/>
    <x v="5"/>
  </r>
  <r>
    <s v="TXN178"/>
    <x v="1"/>
    <x v="1"/>
    <n v="15"/>
    <n v="6.83"/>
    <n v="102.45"/>
    <d v="2025-03-11T00:00:00"/>
    <x v="4"/>
    <x v="11"/>
    <x v="3"/>
    <x v="9"/>
  </r>
  <r>
    <s v="TXN179"/>
    <x v="6"/>
    <x v="0"/>
    <n v="4"/>
    <n v="132.46"/>
    <n v="529.84"/>
    <d v="2025-12-13T00:00:00"/>
    <x v="1"/>
    <x v="3"/>
    <x v="0"/>
    <x v="6"/>
  </r>
  <r>
    <s v="TXN180"/>
    <x v="9"/>
    <x v="4"/>
    <n v="8"/>
    <n v="851.63"/>
    <n v="6813.04"/>
    <d v="2025-07-23T00:00:00"/>
    <x v="0"/>
    <x v="9"/>
    <x v="2"/>
    <x v="1"/>
  </r>
  <r>
    <s v="TXN181"/>
    <x v="9"/>
    <x v="4"/>
    <n v="8"/>
    <n v="840.47"/>
    <n v="6723.76"/>
    <d v="2025-11-26T00:00:00"/>
    <x v="3"/>
    <x v="8"/>
    <x v="2"/>
    <x v="5"/>
  </r>
  <r>
    <s v="TXN182"/>
    <x v="3"/>
    <x v="3"/>
    <n v="11"/>
    <n v="2.1"/>
    <n v="23.1"/>
    <d v="2025-07-15T00:00:00"/>
    <x v="2"/>
    <x v="14"/>
    <x v="3"/>
    <x v="1"/>
  </r>
  <r>
    <s v="TXN183"/>
    <x v="0"/>
    <x v="0"/>
    <n v="20"/>
    <n v="187.22"/>
    <n v="3744.4"/>
    <d v="2025-09-02T00:00:00"/>
    <x v="2"/>
    <x v="10"/>
    <x v="3"/>
    <x v="2"/>
  </r>
  <r>
    <s v="TXN184"/>
    <x v="2"/>
    <x v="2"/>
    <n v="1"/>
    <n v="9909.24"/>
    <n v="9909.24"/>
    <d v="2025-06-20T00:00:00"/>
    <x v="3"/>
    <x v="18"/>
    <x v="5"/>
    <x v="11"/>
  </r>
  <r>
    <s v="TXN185"/>
    <x v="6"/>
    <x v="0"/>
    <n v="6"/>
    <n v="163.03"/>
    <n v="978.18"/>
    <d v="2025-06-11T00:00:00"/>
    <x v="2"/>
    <x v="13"/>
    <x v="2"/>
    <x v="11"/>
  </r>
  <r>
    <s v="TXN186"/>
    <x v="3"/>
    <x v="3"/>
    <n v="13"/>
    <n v="2.5299999999999998"/>
    <n v="32.89"/>
    <d v="2025-09-29T00:00:00"/>
    <x v="2"/>
    <x v="15"/>
    <x v="4"/>
    <x v="2"/>
  </r>
  <r>
    <s v="TXN187"/>
    <x v="7"/>
    <x v="4"/>
    <n v="11"/>
    <n v="346.16"/>
    <n v="3807.76"/>
    <d v="2025-03-02T00:00:00"/>
    <x v="1"/>
    <x v="10"/>
    <x v="1"/>
    <x v="9"/>
  </r>
  <r>
    <s v="TXN188"/>
    <x v="6"/>
    <x v="0"/>
    <n v="18"/>
    <n v="165.31"/>
    <n v="2975.58"/>
    <d v="2025-04-26T00:00:00"/>
    <x v="3"/>
    <x v="7"/>
    <x v="0"/>
    <x v="0"/>
  </r>
  <r>
    <s v="TXN189"/>
    <x v="7"/>
    <x v="4"/>
    <n v="18"/>
    <n v="331.2"/>
    <n v="5961.6"/>
    <d v="2025-03-24T00:00:00"/>
    <x v="4"/>
    <x v="11"/>
    <x v="4"/>
    <x v="9"/>
  </r>
  <r>
    <s v="TXN190"/>
    <x v="3"/>
    <x v="3"/>
    <n v="2"/>
    <n v="1.89"/>
    <n v="3.78"/>
    <d v="2025-01-20T00:00:00"/>
    <x v="2"/>
    <x v="11"/>
    <x v="4"/>
    <x v="3"/>
  </r>
  <r>
    <s v="TXN191"/>
    <x v="6"/>
    <x v="0"/>
    <n v="17"/>
    <n v="153.80000000000001"/>
    <n v="2614.6"/>
    <d v="2025-05-19T00:00:00"/>
    <x v="3"/>
    <x v="1"/>
    <x v="4"/>
    <x v="10"/>
  </r>
  <r>
    <s v="TXN192"/>
    <x v="3"/>
    <x v="3"/>
    <n v="13"/>
    <n v="1.06"/>
    <n v="13.78"/>
    <d v="2025-07-29T00:00:00"/>
    <x v="1"/>
    <x v="9"/>
    <x v="3"/>
    <x v="1"/>
  </r>
  <r>
    <s v="TXN193"/>
    <x v="8"/>
    <x v="5"/>
    <n v="6"/>
    <n v="33.32"/>
    <n v="199.92"/>
    <d v="2025-02-05T00:00:00"/>
    <x v="4"/>
    <x v="4"/>
    <x v="2"/>
    <x v="4"/>
  </r>
  <r>
    <s v="TXN194"/>
    <x v="7"/>
    <x v="4"/>
    <n v="13"/>
    <n v="307.02"/>
    <n v="3991.26"/>
    <d v="2025-03-11T00:00:00"/>
    <x v="4"/>
    <x v="4"/>
    <x v="3"/>
    <x v="9"/>
  </r>
  <r>
    <s v="TXN195"/>
    <x v="2"/>
    <x v="2"/>
    <n v="1"/>
    <n v="8614"/>
    <n v="8614"/>
    <d v="2025-12-03T00:00:00"/>
    <x v="3"/>
    <x v="12"/>
    <x v="2"/>
    <x v="6"/>
  </r>
  <r>
    <s v="TXN196"/>
    <x v="6"/>
    <x v="0"/>
    <n v="7"/>
    <n v="187.64"/>
    <n v="1313.48"/>
    <d v="2025-02-20T00:00:00"/>
    <x v="1"/>
    <x v="8"/>
    <x v="6"/>
    <x v="4"/>
  </r>
  <r>
    <s v="TXN197"/>
    <x v="1"/>
    <x v="1"/>
    <n v="18"/>
    <n v="5.85"/>
    <n v="105.3"/>
    <d v="2025-08-06T00:00:00"/>
    <x v="2"/>
    <x v="13"/>
    <x v="2"/>
    <x v="7"/>
  </r>
  <r>
    <s v="TXN198"/>
    <x v="3"/>
    <x v="3"/>
    <n v="9"/>
    <n v="2.84"/>
    <n v="25.56"/>
    <d v="2025-03-07T00:00:00"/>
    <x v="4"/>
    <x v="16"/>
    <x v="5"/>
    <x v="9"/>
  </r>
  <r>
    <s v="TXN199"/>
    <x v="6"/>
    <x v="0"/>
    <n v="19"/>
    <n v="198.95"/>
    <n v="3780.05"/>
    <d v="2025-12-02T00:00:00"/>
    <x v="4"/>
    <x v="3"/>
    <x v="3"/>
    <x v="6"/>
  </r>
  <r>
    <s v="TXN200"/>
    <x v="4"/>
    <x v="4"/>
    <n v="20"/>
    <n v="220.48"/>
    <n v="4409.6000000000004"/>
    <d v="2025-05-07T00:00:00"/>
    <x v="0"/>
    <x v="9"/>
    <x v="2"/>
    <x v="10"/>
  </r>
  <r>
    <s v="TXN201"/>
    <x v="1"/>
    <x v="1"/>
    <n v="11"/>
    <n v="9.9"/>
    <n v="108.9"/>
    <d v="2025-04-16T00:00:00"/>
    <x v="3"/>
    <x v="1"/>
    <x v="2"/>
    <x v="0"/>
  </r>
  <r>
    <s v="TXN202"/>
    <x v="5"/>
    <x v="3"/>
    <n v="20"/>
    <n v="10.210000000000001"/>
    <n v="204.2"/>
    <d v="2025-04-27T00:00:00"/>
    <x v="2"/>
    <x v="14"/>
    <x v="1"/>
    <x v="0"/>
  </r>
  <r>
    <s v="TXN203"/>
    <x v="1"/>
    <x v="1"/>
    <n v="15"/>
    <n v="8.99"/>
    <n v="134.85"/>
    <d v="2025-02-28T00:00:00"/>
    <x v="3"/>
    <x v="5"/>
    <x v="5"/>
    <x v="4"/>
  </r>
  <r>
    <s v="TXN204"/>
    <x v="3"/>
    <x v="3"/>
    <n v="9"/>
    <n v="2.2000000000000002"/>
    <n v="19.8"/>
    <d v="2025-11-10T00:00:00"/>
    <x v="2"/>
    <x v="12"/>
    <x v="4"/>
    <x v="5"/>
  </r>
  <r>
    <s v="TXN205"/>
    <x v="1"/>
    <x v="1"/>
    <n v="17"/>
    <n v="12.61"/>
    <n v="214.37"/>
    <d v="2025-06-11T00:00:00"/>
    <x v="4"/>
    <x v="18"/>
    <x v="2"/>
    <x v="11"/>
  </r>
  <r>
    <s v="TXN206"/>
    <x v="6"/>
    <x v="0"/>
    <n v="5"/>
    <n v="159.04"/>
    <n v="795.2"/>
    <d v="2025-04-22T00:00:00"/>
    <x v="3"/>
    <x v="8"/>
    <x v="3"/>
    <x v="0"/>
  </r>
  <r>
    <s v="TXN207"/>
    <x v="3"/>
    <x v="3"/>
    <n v="1"/>
    <n v="2.25"/>
    <n v="2.25"/>
    <d v="2025-04-02T00:00:00"/>
    <x v="3"/>
    <x v="5"/>
    <x v="2"/>
    <x v="0"/>
  </r>
  <r>
    <s v="TXN208"/>
    <x v="1"/>
    <x v="1"/>
    <n v="10"/>
    <n v="6.92"/>
    <n v="69.2"/>
    <d v="2025-04-21T00:00:00"/>
    <x v="3"/>
    <x v="16"/>
    <x v="4"/>
    <x v="0"/>
  </r>
  <r>
    <s v="TXN209"/>
    <x v="6"/>
    <x v="0"/>
    <n v="2"/>
    <n v="189.27"/>
    <n v="378.54"/>
    <d v="2025-06-29T00:00:00"/>
    <x v="3"/>
    <x v="1"/>
    <x v="1"/>
    <x v="11"/>
  </r>
  <r>
    <s v="TXN210"/>
    <x v="9"/>
    <x v="4"/>
    <n v="14"/>
    <n v="838.27"/>
    <n v="11735.78"/>
    <d v="2025-01-05T00:00:00"/>
    <x v="1"/>
    <x v="2"/>
    <x v="1"/>
    <x v="3"/>
  </r>
  <r>
    <s v="TXN211"/>
    <x v="1"/>
    <x v="1"/>
    <n v="16"/>
    <n v="11.36"/>
    <n v="181.76"/>
    <d v="2025-03-21T00:00:00"/>
    <x v="1"/>
    <x v="7"/>
    <x v="5"/>
    <x v="9"/>
  </r>
  <r>
    <s v="TXN212"/>
    <x v="1"/>
    <x v="1"/>
    <n v="7"/>
    <n v="8.9"/>
    <n v="62.3"/>
    <d v="2025-10-06T00:00:00"/>
    <x v="3"/>
    <x v="7"/>
    <x v="4"/>
    <x v="8"/>
  </r>
  <r>
    <s v="TXN213"/>
    <x v="6"/>
    <x v="0"/>
    <n v="19"/>
    <n v="109.37"/>
    <n v="2078.0300000000002"/>
    <d v="2025-03-06T00:00:00"/>
    <x v="4"/>
    <x v="15"/>
    <x v="6"/>
    <x v="9"/>
  </r>
  <r>
    <s v="TXN214"/>
    <x v="0"/>
    <x v="0"/>
    <n v="8"/>
    <n v="181.38"/>
    <n v="1451.04"/>
    <d v="2025-03-02T00:00:00"/>
    <x v="2"/>
    <x v="14"/>
    <x v="1"/>
    <x v="9"/>
  </r>
  <r>
    <s v="TXN215"/>
    <x v="3"/>
    <x v="3"/>
    <n v="17"/>
    <n v="1.34"/>
    <n v="22.78"/>
    <d v="2025-05-20T00:00:00"/>
    <x v="3"/>
    <x v="14"/>
    <x v="3"/>
    <x v="10"/>
  </r>
  <r>
    <s v="TXN216"/>
    <x v="0"/>
    <x v="0"/>
    <n v="7"/>
    <n v="164.7"/>
    <n v="1152.9000000000001"/>
    <d v="2025-02-21T00:00:00"/>
    <x v="4"/>
    <x v="12"/>
    <x v="5"/>
    <x v="4"/>
  </r>
  <r>
    <s v="TXN217"/>
    <x v="3"/>
    <x v="3"/>
    <n v="13"/>
    <n v="2.23"/>
    <n v="28.99"/>
    <d v="2025-03-25T00:00:00"/>
    <x v="3"/>
    <x v="11"/>
    <x v="3"/>
    <x v="9"/>
  </r>
  <r>
    <s v="TXN218"/>
    <x v="3"/>
    <x v="3"/>
    <n v="2"/>
    <n v="1.76"/>
    <n v="3.52"/>
    <d v="2025-02-22T00:00:00"/>
    <x v="4"/>
    <x v="0"/>
    <x v="0"/>
    <x v="4"/>
  </r>
  <r>
    <s v="TXN219"/>
    <x v="1"/>
    <x v="1"/>
    <n v="14"/>
    <n v="8.34"/>
    <n v="116.76"/>
    <d v="2025-11-26T00:00:00"/>
    <x v="2"/>
    <x v="16"/>
    <x v="2"/>
    <x v="5"/>
  </r>
  <r>
    <s v="TXN220"/>
    <x v="7"/>
    <x v="4"/>
    <n v="10"/>
    <n v="267.91000000000003"/>
    <n v="2679.1"/>
    <d v="2025-07-10T00:00:00"/>
    <x v="0"/>
    <x v="18"/>
    <x v="6"/>
    <x v="1"/>
  </r>
  <r>
    <s v="TXN221"/>
    <x v="9"/>
    <x v="4"/>
    <n v="11"/>
    <n v="808.22"/>
    <n v="8890.42"/>
    <d v="2025-09-02T00:00:00"/>
    <x v="0"/>
    <x v="13"/>
    <x v="3"/>
    <x v="2"/>
  </r>
  <r>
    <s v="TXN222"/>
    <x v="4"/>
    <x v="4"/>
    <n v="2"/>
    <n v="270.8"/>
    <n v="541.6"/>
    <d v="2025-10-18T00:00:00"/>
    <x v="1"/>
    <x v="3"/>
    <x v="0"/>
    <x v="8"/>
  </r>
  <r>
    <s v="TXN223"/>
    <x v="2"/>
    <x v="2"/>
    <n v="1"/>
    <n v="8876.25"/>
    <n v="8876.25"/>
    <d v="2025-11-04T00:00:00"/>
    <x v="3"/>
    <x v="4"/>
    <x v="3"/>
    <x v="5"/>
  </r>
  <r>
    <s v="TXN224"/>
    <x v="5"/>
    <x v="3"/>
    <n v="14"/>
    <n v="15.95"/>
    <n v="223.3"/>
    <d v="2025-08-12T00:00:00"/>
    <x v="0"/>
    <x v="8"/>
    <x v="3"/>
    <x v="7"/>
  </r>
  <r>
    <s v="TXN225"/>
    <x v="1"/>
    <x v="1"/>
    <n v="17"/>
    <n v="12.26"/>
    <n v="208.42"/>
    <d v="2025-03-24T00:00:00"/>
    <x v="1"/>
    <x v="11"/>
    <x v="4"/>
    <x v="9"/>
  </r>
  <r>
    <s v="TXN226"/>
    <x v="9"/>
    <x v="4"/>
    <n v="4"/>
    <n v="920.27"/>
    <n v="3681.08"/>
    <d v="2025-12-04T00:00:00"/>
    <x v="3"/>
    <x v="3"/>
    <x v="6"/>
    <x v="6"/>
  </r>
  <r>
    <s v="TXN227"/>
    <x v="8"/>
    <x v="5"/>
    <n v="20"/>
    <n v="33.380000000000003"/>
    <n v="667.6"/>
    <d v="2025-09-18T00:00:00"/>
    <x v="0"/>
    <x v="4"/>
    <x v="6"/>
    <x v="2"/>
  </r>
  <r>
    <s v="TXN228"/>
    <x v="0"/>
    <x v="0"/>
    <n v="19"/>
    <n v="120.67"/>
    <n v="2292.73"/>
    <d v="2025-01-25T00:00:00"/>
    <x v="1"/>
    <x v="10"/>
    <x v="0"/>
    <x v="3"/>
  </r>
  <r>
    <s v="TXN229"/>
    <x v="0"/>
    <x v="0"/>
    <n v="10"/>
    <n v="155.66"/>
    <n v="1556.6"/>
    <d v="2025-10-15T00:00:00"/>
    <x v="2"/>
    <x v="13"/>
    <x v="2"/>
    <x v="8"/>
  </r>
  <r>
    <s v="TXN230"/>
    <x v="4"/>
    <x v="4"/>
    <n v="4"/>
    <n v="175.06"/>
    <n v="700.24"/>
    <d v="2025-10-14T00:00:00"/>
    <x v="0"/>
    <x v="11"/>
    <x v="3"/>
    <x v="8"/>
  </r>
  <r>
    <s v="TXN231"/>
    <x v="5"/>
    <x v="3"/>
    <n v="11"/>
    <n v="16.66"/>
    <n v="183.26"/>
    <d v="2025-04-13T00:00:00"/>
    <x v="0"/>
    <x v="0"/>
    <x v="1"/>
    <x v="0"/>
  </r>
  <r>
    <s v="TXN232"/>
    <x v="7"/>
    <x v="4"/>
    <n v="15"/>
    <n v="381.95"/>
    <n v="5729.25"/>
    <d v="2025-05-11T00:00:00"/>
    <x v="3"/>
    <x v="8"/>
    <x v="1"/>
    <x v="10"/>
  </r>
  <r>
    <s v="TXN233"/>
    <x v="1"/>
    <x v="1"/>
    <n v="15"/>
    <n v="9.75"/>
    <n v="146.25"/>
    <d v="2025-11-08T00:00:00"/>
    <x v="2"/>
    <x v="7"/>
    <x v="0"/>
    <x v="5"/>
  </r>
  <r>
    <s v="TXN234"/>
    <x v="1"/>
    <x v="1"/>
    <n v="12"/>
    <n v="8"/>
    <n v="96"/>
    <d v="2025-09-22T00:00:00"/>
    <x v="2"/>
    <x v="11"/>
    <x v="4"/>
    <x v="2"/>
  </r>
  <r>
    <s v="TXN235"/>
    <x v="1"/>
    <x v="1"/>
    <n v="14"/>
    <n v="12.62"/>
    <n v="176.68"/>
    <d v="2025-08-29T00:00:00"/>
    <x v="2"/>
    <x v="12"/>
    <x v="5"/>
    <x v="7"/>
  </r>
  <r>
    <s v="TXN236"/>
    <x v="8"/>
    <x v="5"/>
    <n v="1"/>
    <n v="20.72"/>
    <n v="20.72"/>
    <d v="2025-07-03T00:00:00"/>
    <x v="2"/>
    <x v="8"/>
    <x v="6"/>
    <x v="1"/>
  </r>
  <r>
    <s v="TXN237"/>
    <x v="6"/>
    <x v="0"/>
    <n v="8"/>
    <n v="164.12"/>
    <n v="1312.96"/>
    <d v="2025-02-21T00:00:00"/>
    <x v="1"/>
    <x v="6"/>
    <x v="5"/>
    <x v="4"/>
  </r>
  <r>
    <s v="TXN238"/>
    <x v="4"/>
    <x v="4"/>
    <n v="9"/>
    <n v="254.32"/>
    <n v="2288.88"/>
    <d v="2025-08-26T00:00:00"/>
    <x v="0"/>
    <x v="12"/>
    <x v="3"/>
    <x v="7"/>
  </r>
  <r>
    <s v="TXN239"/>
    <x v="7"/>
    <x v="4"/>
    <n v="20"/>
    <n v="271.02999999999997"/>
    <n v="5420.6"/>
    <d v="2025-09-09T00:00:00"/>
    <x v="2"/>
    <x v="14"/>
    <x v="3"/>
    <x v="2"/>
  </r>
  <r>
    <s v="TXN240"/>
    <x v="5"/>
    <x v="3"/>
    <n v="11"/>
    <n v="15.66"/>
    <n v="172.26"/>
    <d v="2025-07-29T00:00:00"/>
    <x v="2"/>
    <x v="10"/>
    <x v="3"/>
    <x v="1"/>
  </r>
  <r>
    <s v="TXN241"/>
    <x v="3"/>
    <x v="3"/>
    <n v="15"/>
    <n v="2.16"/>
    <n v="32.4"/>
    <d v="2025-03-14T00:00:00"/>
    <x v="4"/>
    <x v="15"/>
    <x v="5"/>
    <x v="9"/>
  </r>
  <r>
    <s v="TXN242"/>
    <x v="8"/>
    <x v="5"/>
    <n v="3"/>
    <n v="43.57"/>
    <n v="130.71"/>
    <d v="2025-11-14T00:00:00"/>
    <x v="0"/>
    <x v="19"/>
    <x v="5"/>
    <x v="5"/>
  </r>
  <r>
    <s v="TXN243"/>
    <x v="0"/>
    <x v="0"/>
    <n v="9"/>
    <n v="170.05"/>
    <n v="1530.45"/>
    <d v="2025-03-17T00:00:00"/>
    <x v="0"/>
    <x v="12"/>
    <x v="4"/>
    <x v="9"/>
  </r>
  <r>
    <s v="TXN244"/>
    <x v="3"/>
    <x v="3"/>
    <n v="1"/>
    <n v="1.57"/>
    <n v="1.57"/>
    <d v="2025-01-27T00:00:00"/>
    <x v="0"/>
    <x v="2"/>
    <x v="4"/>
    <x v="3"/>
  </r>
  <r>
    <s v="TXN245"/>
    <x v="8"/>
    <x v="5"/>
    <n v="15"/>
    <n v="40.6"/>
    <n v="609"/>
    <d v="2025-09-02T00:00:00"/>
    <x v="2"/>
    <x v="14"/>
    <x v="3"/>
    <x v="2"/>
  </r>
  <r>
    <s v="TXN246"/>
    <x v="4"/>
    <x v="4"/>
    <n v="14"/>
    <n v="272.22000000000003"/>
    <n v="3811.08"/>
    <d v="2025-04-19T00:00:00"/>
    <x v="2"/>
    <x v="1"/>
    <x v="0"/>
    <x v="0"/>
  </r>
  <r>
    <s v="TXN247"/>
    <x v="5"/>
    <x v="3"/>
    <n v="14"/>
    <n v="14.19"/>
    <n v="198.66"/>
    <d v="2025-09-04T00:00:00"/>
    <x v="3"/>
    <x v="6"/>
    <x v="6"/>
    <x v="2"/>
  </r>
  <r>
    <s v="TXN248"/>
    <x v="0"/>
    <x v="0"/>
    <n v="19"/>
    <n v="165.29"/>
    <n v="3140.51"/>
    <d v="2025-07-23T00:00:00"/>
    <x v="3"/>
    <x v="12"/>
    <x v="2"/>
    <x v="1"/>
  </r>
  <r>
    <s v="TXN249"/>
    <x v="3"/>
    <x v="3"/>
    <n v="13"/>
    <n v="1.75"/>
    <n v="22.75"/>
    <d v="2025-05-28T00:00:00"/>
    <x v="3"/>
    <x v="15"/>
    <x v="2"/>
    <x v="10"/>
  </r>
  <r>
    <s v="TXN250"/>
    <x v="0"/>
    <x v="0"/>
    <n v="8"/>
    <n v="146.26"/>
    <n v="1170.08"/>
    <d v="2025-07-05T00:00:00"/>
    <x v="3"/>
    <x v="16"/>
    <x v="0"/>
    <x v="1"/>
  </r>
  <r>
    <s v="TXN251"/>
    <x v="1"/>
    <x v="1"/>
    <n v="19"/>
    <n v="6.33"/>
    <n v="120.27"/>
    <d v="2025-05-22T00:00:00"/>
    <x v="1"/>
    <x v="7"/>
    <x v="6"/>
    <x v="10"/>
  </r>
  <r>
    <s v="TXN252"/>
    <x v="9"/>
    <x v="4"/>
    <n v="11"/>
    <n v="960.7"/>
    <n v="10567.7"/>
    <d v="2025-10-22T00:00:00"/>
    <x v="0"/>
    <x v="4"/>
    <x v="2"/>
    <x v="8"/>
  </r>
  <r>
    <s v="TXN253"/>
    <x v="2"/>
    <x v="2"/>
    <n v="1"/>
    <n v="5315.45"/>
    <n v="5315.45"/>
    <d v="2025-11-08T00:00:00"/>
    <x v="2"/>
    <x v="18"/>
    <x v="0"/>
    <x v="5"/>
  </r>
  <r>
    <s v="TXN254"/>
    <x v="1"/>
    <x v="1"/>
    <n v="1"/>
    <n v="8.77"/>
    <n v="8.77"/>
    <d v="2025-04-20T00:00:00"/>
    <x v="0"/>
    <x v="3"/>
    <x v="1"/>
    <x v="0"/>
  </r>
  <r>
    <s v="TXN255"/>
    <x v="6"/>
    <x v="0"/>
    <n v="17"/>
    <n v="152.66"/>
    <n v="2595.2199999999998"/>
    <d v="2025-12-08T00:00:00"/>
    <x v="3"/>
    <x v="15"/>
    <x v="4"/>
    <x v="6"/>
  </r>
  <r>
    <s v="TXN256"/>
    <x v="7"/>
    <x v="4"/>
    <n v="1"/>
    <n v="233.93"/>
    <n v="233.93"/>
    <d v="2025-07-12T00:00:00"/>
    <x v="0"/>
    <x v="14"/>
    <x v="0"/>
    <x v="1"/>
  </r>
  <r>
    <s v="TXN257"/>
    <x v="0"/>
    <x v="0"/>
    <n v="2"/>
    <n v="198.18"/>
    <n v="396.36"/>
    <d v="2025-09-18T00:00:00"/>
    <x v="3"/>
    <x v="18"/>
    <x v="6"/>
    <x v="2"/>
  </r>
  <r>
    <s v="TXN258"/>
    <x v="1"/>
    <x v="1"/>
    <n v="1"/>
    <n v="14.02"/>
    <n v="14.02"/>
    <d v="2025-12-21T00:00:00"/>
    <x v="4"/>
    <x v="2"/>
    <x v="1"/>
    <x v="6"/>
  </r>
  <r>
    <s v="TXN259"/>
    <x v="0"/>
    <x v="0"/>
    <n v="17"/>
    <n v="155.57"/>
    <n v="2644.69"/>
    <d v="2025-12-10T00:00:00"/>
    <x v="3"/>
    <x v="7"/>
    <x v="2"/>
    <x v="6"/>
  </r>
  <r>
    <s v="TXN260"/>
    <x v="9"/>
    <x v="4"/>
    <n v="11"/>
    <n v="971.94"/>
    <n v="10691.34"/>
    <d v="2025-11-23T00:00:00"/>
    <x v="4"/>
    <x v="18"/>
    <x v="1"/>
    <x v="5"/>
  </r>
  <r>
    <s v="TXN261"/>
    <x v="9"/>
    <x v="4"/>
    <n v="9"/>
    <n v="908.32"/>
    <n v="8174.88"/>
    <d v="2025-08-25T00:00:00"/>
    <x v="4"/>
    <x v="0"/>
    <x v="4"/>
    <x v="7"/>
  </r>
  <r>
    <s v="TXN262"/>
    <x v="6"/>
    <x v="0"/>
    <n v="14"/>
    <n v="113.58"/>
    <n v="1590.12"/>
    <d v="2025-06-08T00:00:00"/>
    <x v="0"/>
    <x v="5"/>
    <x v="1"/>
    <x v="11"/>
  </r>
  <r>
    <s v="TXN263"/>
    <x v="7"/>
    <x v="4"/>
    <n v="10"/>
    <n v="242.82"/>
    <n v="2428.1999999999998"/>
    <d v="2025-08-12T00:00:00"/>
    <x v="0"/>
    <x v="19"/>
    <x v="3"/>
    <x v="7"/>
  </r>
  <r>
    <s v="TXN264"/>
    <x v="6"/>
    <x v="0"/>
    <n v="12"/>
    <n v="177.73"/>
    <n v="2132.7600000000002"/>
    <d v="2025-04-04T00:00:00"/>
    <x v="3"/>
    <x v="13"/>
    <x v="5"/>
    <x v="0"/>
  </r>
  <r>
    <s v="TXN265"/>
    <x v="8"/>
    <x v="5"/>
    <n v="17"/>
    <n v="34.51"/>
    <n v="586.66999999999996"/>
    <d v="2025-01-01T00:00:00"/>
    <x v="1"/>
    <x v="12"/>
    <x v="2"/>
    <x v="3"/>
  </r>
  <r>
    <s v="TXN266"/>
    <x v="4"/>
    <x v="4"/>
    <n v="4"/>
    <n v="277.36"/>
    <n v="1109.44"/>
    <d v="2025-08-06T00:00:00"/>
    <x v="3"/>
    <x v="1"/>
    <x v="2"/>
    <x v="7"/>
  </r>
  <r>
    <s v="TXN267"/>
    <x v="8"/>
    <x v="5"/>
    <n v="6"/>
    <n v="26.64"/>
    <n v="159.84"/>
    <d v="2025-10-27T00:00:00"/>
    <x v="4"/>
    <x v="0"/>
    <x v="4"/>
    <x v="8"/>
  </r>
  <r>
    <s v="TXN268"/>
    <x v="0"/>
    <x v="0"/>
    <n v="9"/>
    <n v="115.09"/>
    <n v="1035.81"/>
    <d v="2025-01-23T00:00:00"/>
    <x v="0"/>
    <x v="3"/>
    <x v="6"/>
    <x v="3"/>
  </r>
  <r>
    <s v="TXN269"/>
    <x v="9"/>
    <x v="4"/>
    <n v="2"/>
    <n v="859.47"/>
    <n v="1718.94"/>
    <d v="2025-05-01T00:00:00"/>
    <x v="4"/>
    <x v="19"/>
    <x v="6"/>
    <x v="10"/>
  </r>
  <r>
    <s v="TXN270"/>
    <x v="1"/>
    <x v="1"/>
    <n v="2"/>
    <n v="12.89"/>
    <n v="25.78"/>
    <d v="2025-04-30T00:00:00"/>
    <x v="4"/>
    <x v="16"/>
    <x v="2"/>
    <x v="0"/>
  </r>
  <r>
    <s v="TXN271"/>
    <x v="6"/>
    <x v="0"/>
    <n v="8"/>
    <n v="195.03"/>
    <n v="1560.24"/>
    <d v="2025-02-10T00:00:00"/>
    <x v="0"/>
    <x v="4"/>
    <x v="4"/>
    <x v="4"/>
  </r>
  <r>
    <s v="TXN272"/>
    <x v="7"/>
    <x v="4"/>
    <n v="4"/>
    <n v="254.89"/>
    <n v="1019.56"/>
    <d v="2025-04-21T00:00:00"/>
    <x v="0"/>
    <x v="1"/>
    <x v="4"/>
    <x v="0"/>
  </r>
  <r>
    <s v="TXN273"/>
    <x v="8"/>
    <x v="5"/>
    <n v="18"/>
    <n v="41.77"/>
    <n v="751.86"/>
    <d v="2025-10-31T00:00:00"/>
    <x v="3"/>
    <x v="14"/>
    <x v="5"/>
    <x v="8"/>
  </r>
  <r>
    <s v="TXN274"/>
    <x v="0"/>
    <x v="0"/>
    <n v="10"/>
    <n v="131.54"/>
    <n v="1315.4"/>
    <d v="2025-07-17T00:00:00"/>
    <x v="0"/>
    <x v="14"/>
    <x v="6"/>
    <x v="1"/>
  </r>
  <r>
    <s v="TXN275"/>
    <x v="1"/>
    <x v="1"/>
    <n v="5"/>
    <n v="11.33"/>
    <n v="56.65"/>
    <d v="2025-05-14T00:00:00"/>
    <x v="4"/>
    <x v="10"/>
    <x v="2"/>
    <x v="10"/>
  </r>
  <r>
    <s v="TXN276"/>
    <x v="5"/>
    <x v="3"/>
    <n v="16"/>
    <n v="13.84"/>
    <n v="221.44"/>
    <d v="2025-01-05T00:00:00"/>
    <x v="2"/>
    <x v="1"/>
    <x v="1"/>
    <x v="3"/>
  </r>
  <r>
    <s v="TXN277"/>
    <x v="7"/>
    <x v="4"/>
    <n v="13"/>
    <n v="276.45999999999998"/>
    <n v="3593.98"/>
    <d v="2025-06-08T00:00:00"/>
    <x v="0"/>
    <x v="10"/>
    <x v="1"/>
    <x v="11"/>
  </r>
  <r>
    <s v="TXN278"/>
    <x v="7"/>
    <x v="4"/>
    <n v="12"/>
    <n v="253.77"/>
    <n v="3045.24"/>
    <d v="2025-02-28T00:00:00"/>
    <x v="2"/>
    <x v="19"/>
    <x v="5"/>
    <x v="4"/>
  </r>
  <r>
    <s v="TXN279"/>
    <x v="5"/>
    <x v="3"/>
    <n v="3"/>
    <n v="14.61"/>
    <n v="43.83"/>
    <d v="2025-06-05T00:00:00"/>
    <x v="3"/>
    <x v="12"/>
    <x v="6"/>
    <x v="11"/>
  </r>
  <r>
    <s v="TXN280"/>
    <x v="9"/>
    <x v="4"/>
    <n v="13"/>
    <n v="872.33"/>
    <n v="11340.29"/>
    <d v="2025-10-19T00:00:00"/>
    <x v="1"/>
    <x v="14"/>
    <x v="1"/>
    <x v="8"/>
  </r>
  <r>
    <s v="TXN281"/>
    <x v="2"/>
    <x v="2"/>
    <n v="1"/>
    <n v="9452.25"/>
    <n v="9452.25"/>
    <d v="2025-06-17T00:00:00"/>
    <x v="4"/>
    <x v="9"/>
    <x v="3"/>
    <x v="11"/>
  </r>
  <r>
    <s v="TXN282"/>
    <x v="7"/>
    <x v="4"/>
    <n v="14"/>
    <n v="226.49"/>
    <n v="3170.86"/>
    <d v="2025-09-19T00:00:00"/>
    <x v="1"/>
    <x v="7"/>
    <x v="5"/>
    <x v="2"/>
  </r>
  <r>
    <s v="TXN283"/>
    <x v="0"/>
    <x v="0"/>
    <n v="12"/>
    <n v="100.9"/>
    <n v="1210.8"/>
    <d v="2025-10-01T00:00:00"/>
    <x v="0"/>
    <x v="5"/>
    <x v="2"/>
    <x v="8"/>
  </r>
  <r>
    <s v="TXN284"/>
    <x v="3"/>
    <x v="3"/>
    <n v="14"/>
    <n v="2.0099999999999998"/>
    <n v="28.14"/>
    <d v="2025-02-22T00:00:00"/>
    <x v="0"/>
    <x v="7"/>
    <x v="0"/>
    <x v="4"/>
  </r>
  <r>
    <s v="TXN285"/>
    <x v="7"/>
    <x v="4"/>
    <n v="9"/>
    <n v="315.2"/>
    <n v="2836.8"/>
    <d v="2025-03-13T00:00:00"/>
    <x v="3"/>
    <x v="19"/>
    <x v="6"/>
    <x v="9"/>
  </r>
  <r>
    <s v="TXN286"/>
    <x v="2"/>
    <x v="2"/>
    <n v="1"/>
    <n v="6678.13"/>
    <n v="6678.13"/>
    <d v="2025-01-14T00:00:00"/>
    <x v="4"/>
    <x v="5"/>
    <x v="3"/>
    <x v="3"/>
  </r>
  <r>
    <s v="TXN287"/>
    <x v="0"/>
    <x v="0"/>
    <n v="11"/>
    <n v="177.57"/>
    <n v="1953.27"/>
    <d v="2025-04-18T00:00:00"/>
    <x v="3"/>
    <x v="2"/>
    <x v="5"/>
    <x v="0"/>
  </r>
  <r>
    <s v="TXN288"/>
    <x v="1"/>
    <x v="1"/>
    <n v="3"/>
    <n v="13.69"/>
    <n v="41.07"/>
    <d v="2025-10-23T00:00:00"/>
    <x v="3"/>
    <x v="5"/>
    <x v="6"/>
    <x v="8"/>
  </r>
  <r>
    <s v="TXN289"/>
    <x v="0"/>
    <x v="0"/>
    <n v="17"/>
    <n v="134.11000000000001"/>
    <n v="2279.87"/>
    <d v="2025-11-17T00:00:00"/>
    <x v="1"/>
    <x v="3"/>
    <x v="4"/>
    <x v="5"/>
  </r>
  <r>
    <s v="TXN290"/>
    <x v="9"/>
    <x v="4"/>
    <n v="12"/>
    <n v="861.92"/>
    <n v="10343.040000000001"/>
    <d v="2025-03-11T00:00:00"/>
    <x v="1"/>
    <x v="19"/>
    <x v="3"/>
    <x v="9"/>
  </r>
  <r>
    <s v="TXN291"/>
    <x v="7"/>
    <x v="4"/>
    <n v="11"/>
    <n v="201.29"/>
    <n v="2214.19"/>
    <d v="2025-11-10T00:00:00"/>
    <x v="4"/>
    <x v="19"/>
    <x v="4"/>
    <x v="5"/>
  </r>
  <r>
    <s v="TXN292"/>
    <x v="8"/>
    <x v="5"/>
    <n v="15"/>
    <n v="32.31"/>
    <n v="484.65"/>
    <d v="2025-06-05T00:00:00"/>
    <x v="3"/>
    <x v="1"/>
    <x v="6"/>
    <x v="11"/>
  </r>
  <r>
    <s v="TXN293"/>
    <x v="5"/>
    <x v="3"/>
    <n v="14"/>
    <n v="12.57"/>
    <n v="175.98"/>
    <d v="2025-08-13T00:00:00"/>
    <x v="2"/>
    <x v="7"/>
    <x v="2"/>
    <x v="7"/>
  </r>
  <r>
    <s v="TXN294"/>
    <x v="4"/>
    <x v="4"/>
    <n v="12"/>
    <n v="192.13"/>
    <n v="2305.56"/>
    <d v="2025-01-15T00:00:00"/>
    <x v="3"/>
    <x v="17"/>
    <x v="2"/>
    <x v="3"/>
  </r>
  <r>
    <s v="TXN295"/>
    <x v="8"/>
    <x v="5"/>
    <n v="15"/>
    <n v="22.7"/>
    <n v="340.5"/>
    <d v="2025-12-30T00:00:00"/>
    <x v="0"/>
    <x v="14"/>
    <x v="3"/>
    <x v="6"/>
  </r>
  <r>
    <s v="TXN296"/>
    <x v="6"/>
    <x v="0"/>
    <n v="5"/>
    <n v="109.14"/>
    <n v="545.70000000000005"/>
    <d v="2025-09-28T00:00:00"/>
    <x v="4"/>
    <x v="14"/>
    <x v="1"/>
    <x v="2"/>
  </r>
  <r>
    <s v="TXN297"/>
    <x v="2"/>
    <x v="2"/>
    <n v="1"/>
    <n v="9503.77"/>
    <n v="9503.77"/>
    <d v="2025-11-15T00:00:00"/>
    <x v="4"/>
    <x v="11"/>
    <x v="0"/>
    <x v="5"/>
  </r>
  <r>
    <s v="TXN298"/>
    <x v="2"/>
    <x v="2"/>
    <n v="1"/>
    <n v="5489.81"/>
    <n v="5489.81"/>
    <d v="2025-11-02T00:00:00"/>
    <x v="0"/>
    <x v="4"/>
    <x v="1"/>
    <x v="5"/>
  </r>
  <r>
    <s v="TXN299"/>
    <x v="3"/>
    <x v="3"/>
    <n v="11"/>
    <n v="1.23"/>
    <n v="13.53"/>
    <d v="2025-07-25T00:00:00"/>
    <x v="4"/>
    <x v="11"/>
    <x v="5"/>
    <x v="1"/>
  </r>
  <r>
    <s v="TXN300"/>
    <x v="9"/>
    <x v="4"/>
    <n v="1"/>
    <n v="871.95"/>
    <n v="871.95"/>
    <d v="2025-11-25T00:00:00"/>
    <x v="3"/>
    <x v="12"/>
    <x v="3"/>
    <x v="5"/>
  </r>
  <r>
    <s v="TXN301"/>
    <x v="4"/>
    <x v="4"/>
    <n v="3"/>
    <n v="179.61"/>
    <n v="538.83000000000004"/>
    <d v="2025-11-25T00:00:00"/>
    <x v="1"/>
    <x v="9"/>
    <x v="3"/>
    <x v="5"/>
  </r>
  <r>
    <s v="TXN302"/>
    <x v="4"/>
    <x v="4"/>
    <n v="13"/>
    <n v="234.5"/>
    <n v="3048.5"/>
    <d v="2025-05-04T00:00:00"/>
    <x v="1"/>
    <x v="2"/>
    <x v="1"/>
    <x v="10"/>
  </r>
  <r>
    <s v="TXN303"/>
    <x v="8"/>
    <x v="5"/>
    <n v="18"/>
    <n v="42.31"/>
    <n v="761.58"/>
    <d v="2025-08-14T00:00:00"/>
    <x v="0"/>
    <x v="5"/>
    <x v="6"/>
    <x v="7"/>
  </r>
  <r>
    <s v="TXN304"/>
    <x v="7"/>
    <x v="4"/>
    <n v="11"/>
    <n v="278.12"/>
    <n v="3059.32"/>
    <d v="2025-12-30T00:00:00"/>
    <x v="1"/>
    <x v="16"/>
    <x v="3"/>
    <x v="6"/>
  </r>
  <r>
    <s v="TXN305"/>
    <x v="1"/>
    <x v="1"/>
    <n v="11"/>
    <n v="5.46"/>
    <n v="60.06"/>
    <d v="2025-05-15T00:00:00"/>
    <x v="0"/>
    <x v="6"/>
    <x v="6"/>
    <x v="10"/>
  </r>
  <r>
    <s v="TXN306"/>
    <x v="7"/>
    <x v="4"/>
    <n v="11"/>
    <n v="333.61"/>
    <n v="3669.71"/>
    <d v="2025-01-02T00:00:00"/>
    <x v="2"/>
    <x v="18"/>
    <x v="6"/>
    <x v="3"/>
  </r>
  <r>
    <s v="TXN307"/>
    <x v="2"/>
    <x v="2"/>
    <n v="1"/>
    <n v="5454.58"/>
    <n v="5454.58"/>
    <d v="2025-08-19T00:00:00"/>
    <x v="0"/>
    <x v="0"/>
    <x v="3"/>
    <x v="7"/>
  </r>
  <r>
    <s v="TXN308"/>
    <x v="5"/>
    <x v="3"/>
    <n v="6"/>
    <n v="19.829999999999998"/>
    <n v="118.98"/>
    <d v="2025-04-08T00:00:00"/>
    <x v="2"/>
    <x v="3"/>
    <x v="3"/>
    <x v="0"/>
  </r>
  <r>
    <s v="TXN309"/>
    <x v="7"/>
    <x v="4"/>
    <n v="18"/>
    <n v="246.14"/>
    <n v="4430.5200000000004"/>
    <d v="2025-01-14T00:00:00"/>
    <x v="1"/>
    <x v="2"/>
    <x v="3"/>
    <x v="3"/>
  </r>
  <r>
    <s v="TXN310"/>
    <x v="8"/>
    <x v="5"/>
    <n v="4"/>
    <n v="34.130000000000003"/>
    <n v="136.52000000000001"/>
    <d v="2025-01-15T00:00:00"/>
    <x v="1"/>
    <x v="0"/>
    <x v="2"/>
    <x v="3"/>
  </r>
  <r>
    <s v="TXN311"/>
    <x v="8"/>
    <x v="5"/>
    <n v="15"/>
    <n v="21.14"/>
    <n v="317.10000000000002"/>
    <d v="2025-10-29T00:00:00"/>
    <x v="4"/>
    <x v="8"/>
    <x v="2"/>
    <x v="8"/>
  </r>
  <r>
    <s v="TXN312"/>
    <x v="4"/>
    <x v="4"/>
    <n v="19"/>
    <n v="203.37"/>
    <n v="3864.03"/>
    <d v="2025-03-19T00:00:00"/>
    <x v="1"/>
    <x v="17"/>
    <x v="2"/>
    <x v="9"/>
  </r>
  <r>
    <s v="TXN313"/>
    <x v="6"/>
    <x v="0"/>
    <n v="14"/>
    <n v="199.35"/>
    <n v="2790.9"/>
    <d v="2025-04-02T00:00:00"/>
    <x v="4"/>
    <x v="2"/>
    <x v="2"/>
    <x v="0"/>
  </r>
  <r>
    <s v="TXN314"/>
    <x v="2"/>
    <x v="2"/>
    <n v="1"/>
    <n v="7229.1"/>
    <n v="7229.1"/>
    <d v="2025-05-12T00:00:00"/>
    <x v="3"/>
    <x v="13"/>
    <x v="4"/>
    <x v="10"/>
  </r>
  <r>
    <s v="TXN315"/>
    <x v="1"/>
    <x v="1"/>
    <n v="5"/>
    <n v="9.6199999999999992"/>
    <n v="48.1"/>
    <d v="2025-02-03T00:00:00"/>
    <x v="4"/>
    <x v="7"/>
    <x v="4"/>
    <x v="4"/>
  </r>
  <r>
    <s v="TXN316"/>
    <x v="9"/>
    <x v="4"/>
    <n v="1"/>
    <n v="896.36"/>
    <n v="896.36"/>
    <d v="2025-03-01T00:00:00"/>
    <x v="4"/>
    <x v="3"/>
    <x v="0"/>
    <x v="9"/>
  </r>
  <r>
    <s v="TXN317"/>
    <x v="3"/>
    <x v="3"/>
    <n v="18"/>
    <n v="1.77"/>
    <n v="31.86"/>
    <d v="2025-04-14T00:00:00"/>
    <x v="3"/>
    <x v="1"/>
    <x v="4"/>
    <x v="0"/>
  </r>
  <r>
    <s v="TXN318"/>
    <x v="0"/>
    <x v="0"/>
    <n v="19"/>
    <n v="153.61000000000001"/>
    <n v="2918.59"/>
    <d v="2025-06-08T00:00:00"/>
    <x v="2"/>
    <x v="11"/>
    <x v="1"/>
    <x v="11"/>
  </r>
  <r>
    <s v="TXN319"/>
    <x v="6"/>
    <x v="0"/>
    <n v="10"/>
    <n v="108.63"/>
    <n v="1086.3"/>
    <d v="2025-03-22T00:00:00"/>
    <x v="3"/>
    <x v="7"/>
    <x v="0"/>
    <x v="9"/>
  </r>
  <r>
    <s v="TXN320"/>
    <x v="5"/>
    <x v="3"/>
    <n v="2"/>
    <n v="19.46"/>
    <n v="38.92"/>
    <d v="2025-08-16T00:00:00"/>
    <x v="1"/>
    <x v="15"/>
    <x v="0"/>
    <x v="7"/>
  </r>
  <r>
    <s v="TXN321"/>
    <x v="9"/>
    <x v="4"/>
    <n v="18"/>
    <n v="876.19"/>
    <n v="15771.42"/>
    <d v="2025-07-10T00:00:00"/>
    <x v="0"/>
    <x v="15"/>
    <x v="6"/>
    <x v="1"/>
  </r>
  <r>
    <s v="TXN322"/>
    <x v="4"/>
    <x v="4"/>
    <n v="11"/>
    <n v="162.18"/>
    <n v="1783.98"/>
    <d v="2025-10-10T00:00:00"/>
    <x v="3"/>
    <x v="18"/>
    <x v="5"/>
    <x v="8"/>
  </r>
  <r>
    <s v="TXN323"/>
    <x v="3"/>
    <x v="3"/>
    <n v="1"/>
    <n v="1.56"/>
    <n v="1.56"/>
    <d v="2025-08-29T00:00:00"/>
    <x v="0"/>
    <x v="11"/>
    <x v="5"/>
    <x v="7"/>
  </r>
  <r>
    <s v="TXN324"/>
    <x v="3"/>
    <x v="3"/>
    <n v="3"/>
    <n v="1.06"/>
    <n v="3.18"/>
    <d v="2025-07-14T00:00:00"/>
    <x v="3"/>
    <x v="9"/>
    <x v="4"/>
    <x v="1"/>
  </r>
  <r>
    <s v="TXN325"/>
    <x v="2"/>
    <x v="2"/>
    <n v="1"/>
    <n v="8937.02"/>
    <n v="8937.02"/>
    <d v="2025-02-13T00:00:00"/>
    <x v="4"/>
    <x v="15"/>
    <x v="6"/>
    <x v="4"/>
  </r>
  <r>
    <s v="TXN326"/>
    <x v="3"/>
    <x v="3"/>
    <n v="17"/>
    <n v="1.97"/>
    <n v="33.49"/>
    <d v="2025-03-19T00:00:00"/>
    <x v="4"/>
    <x v="11"/>
    <x v="2"/>
    <x v="9"/>
  </r>
  <r>
    <s v="TXN327"/>
    <x v="0"/>
    <x v="0"/>
    <n v="17"/>
    <n v="149.52000000000001"/>
    <n v="2541.84"/>
    <d v="2025-12-25T00:00:00"/>
    <x v="0"/>
    <x v="7"/>
    <x v="6"/>
    <x v="6"/>
  </r>
  <r>
    <s v="TXN328"/>
    <x v="4"/>
    <x v="4"/>
    <n v="11"/>
    <n v="150.83000000000001"/>
    <n v="1659.13"/>
    <d v="2025-07-02T00:00:00"/>
    <x v="2"/>
    <x v="19"/>
    <x v="2"/>
    <x v="1"/>
  </r>
  <r>
    <s v="TXN329"/>
    <x v="8"/>
    <x v="5"/>
    <n v="19"/>
    <n v="25.41"/>
    <n v="482.79"/>
    <d v="2025-03-11T00:00:00"/>
    <x v="2"/>
    <x v="7"/>
    <x v="3"/>
    <x v="9"/>
  </r>
  <r>
    <s v="TXN330"/>
    <x v="2"/>
    <x v="2"/>
    <n v="1"/>
    <n v="7000.06"/>
    <n v="7000.06"/>
    <d v="2025-01-05T00:00:00"/>
    <x v="1"/>
    <x v="2"/>
    <x v="1"/>
    <x v="3"/>
  </r>
  <r>
    <s v="TXN331"/>
    <x v="5"/>
    <x v="3"/>
    <n v="9"/>
    <n v="19.27"/>
    <n v="173.43"/>
    <d v="2025-08-26T00:00:00"/>
    <x v="3"/>
    <x v="6"/>
    <x v="3"/>
    <x v="7"/>
  </r>
  <r>
    <s v="TXN332"/>
    <x v="8"/>
    <x v="5"/>
    <n v="2"/>
    <n v="41.62"/>
    <n v="83.24"/>
    <d v="2025-12-01T00:00:00"/>
    <x v="4"/>
    <x v="10"/>
    <x v="4"/>
    <x v="6"/>
  </r>
  <r>
    <s v="TXN333"/>
    <x v="9"/>
    <x v="4"/>
    <n v="3"/>
    <n v="966.1"/>
    <n v="2898.3"/>
    <d v="2025-09-15T00:00:00"/>
    <x v="1"/>
    <x v="15"/>
    <x v="4"/>
    <x v="2"/>
  </r>
  <r>
    <s v="TXN334"/>
    <x v="0"/>
    <x v="0"/>
    <n v="16"/>
    <n v="127.25"/>
    <n v="2036"/>
    <d v="2025-09-15T00:00:00"/>
    <x v="1"/>
    <x v="14"/>
    <x v="4"/>
    <x v="2"/>
  </r>
  <r>
    <s v="TXN335"/>
    <x v="9"/>
    <x v="4"/>
    <n v="16"/>
    <n v="960.28"/>
    <n v="15364.48"/>
    <d v="2025-09-08T00:00:00"/>
    <x v="3"/>
    <x v="12"/>
    <x v="4"/>
    <x v="2"/>
  </r>
  <r>
    <s v="TXN336"/>
    <x v="4"/>
    <x v="4"/>
    <n v="1"/>
    <n v="265.47000000000003"/>
    <n v="265.47000000000003"/>
    <d v="2025-12-17T00:00:00"/>
    <x v="1"/>
    <x v="4"/>
    <x v="2"/>
    <x v="6"/>
  </r>
  <r>
    <s v="TXN337"/>
    <x v="1"/>
    <x v="1"/>
    <n v="5"/>
    <n v="9.52"/>
    <n v="47.6"/>
    <d v="2025-02-08T00:00:00"/>
    <x v="1"/>
    <x v="15"/>
    <x v="0"/>
    <x v="4"/>
  </r>
  <r>
    <s v="TXN338"/>
    <x v="7"/>
    <x v="4"/>
    <n v="2"/>
    <n v="301.04000000000002"/>
    <n v="602.08000000000004"/>
    <d v="2025-01-16T00:00:00"/>
    <x v="2"/>
    <x v="1"/>
    <x v="6"/>
    <x v="3"/>
  </r>
  <r>
    <s v="TXN339"/>
    <x v="2"/>
    <x v="2"/>
    <n v="1"/>
    <n v="9622.4"/>
    <n v="9622.4"/>
    <d v="2025-06-15T00:00:00"/>
    <x v="4"/>
    <x v="2"/>
    <x v="1"/>
    <x v="11"/>
  </r>
  <r>
    <s v="TXN340"/>
    <x v="5"/>
    <x v="3"/>
    <n v="16"/>
    <n v="11.46"/>
    <n v="183.36"/>
    <d v="2025-08-25T00:00:00"/>
    <x v="2"/>
    <x v="8"/>
    <x v="4"/>
    <x v="7"/>
  </r>
  <r>
    <s v="TXN341"/>
    <x v="2"/>
    <x v="2"/>
    <n v="1"/>
    <n v="6395.36"/>
    <n v="6395.36"/>
    <d v="2025-10-12T00:00:00"/>
    <x v="3"/>
    <x v="1"/>
    <x v="1"/>
    <x v="8"/>
  </r>
  <r>
    <s v="TXN342"/>
    <x v="6"/>
    <x v="0"/>
    <n v="17"/>
    <n v="173.45"/>
    <n v="2948.65"/>
    <d v="2025-06-29T00:00:00"/>
    <x v="4"/>
    <x v="0"/>
    <x v="1"/>
    <x v="11"/>
  </r>
  <r>
    <s v="TXN343"/>
    <x v="1"/>
    <x v="1"/>
    <n v="3"/>
    <n v="10.16"/>
    <n v="30.48"/>
    <d v="2025-01-10T00:00:00"/>
    <x v="4"/>
    <x v="6"/>
    <x v="5"/>
    <x v="3"/>
  </r>
  <r>
    <s v="TXN344"/>
    <x v="8"/>
    <x v="5"/>
    <n v="4"/>
    <n v="45.1"/>
    <n v="180.4"/>
    <d v="2025-01-02T00:00:00"/>
    <x v="0"/>
    <x v="0"/>
    <x v="6"/>
    <x v="3"/>
  </r>
  <r>
    <s v="TXN345"/>
    <x v="8"/>
    <x v="5"/>
    <n v="3"/>
    <n v="39.04"/>
    <n v="117.12"/>
    <d v="2025-03-05T00:00:00"/>
    <x v="2"/>
    <x v="12"/>
    <x v="2"/>
    <x v="9"/>
  </r>
  <r>
    <s v="TXN346"/>
    <x v="6"/>
    <x v="0"/>
    <n v="13"/>
    <n v="163.63999999999999"/>
    <n v="2127.3200000000002"/>
    <d v="2025-03-11T00:00:00"/>
    <x v="0"/>
    <x v="7"/>
    <x v="3"/>
    <x v="9"/>
  </r>
  <r>
    <s v="TXN347"/>
    <x v="6"/>
    <x v="0"/>
    <n v="2"/>
    <n v="171.07"/>
    <n v="342.14"/>
    <d v="2025-10-27T00:00:00"/>
    <x v="3"/>
    <x v="1"/>
    <x v="4"/>
    <x v="8"/>
  </r>
  <r>
    <s v="TXN348"/>
    <x v="4"/>
    <x v="4"/>
    <n v="1"/>
    <n v="253.66"/>
    <n v="253.66"/>
    <d v="2025-05-17T00:00:00"/>
    <x v="3"/>
    <x v="8"/>
    <x v="0"/>
    <x v="10"/>
  </r>
  <r>
    <s v="TXN349"/>
    <x v="9"/>
    <x v="4"/>
    <n v="15"/>
    <n v="906.98"/>
    <n v="13604.7"/>
    <d v="2025-02-27T00:00:00"/>
    <x v="1"/>
    <x v="11"/>
    <x v="6"/>
    <x v="4"/>
  </r>
  <r>
    <s v="TXN350"/>
    <x v="1"/>
    <x v="1"/>
    <n v="1"/>
    <n v="10.31"/>
    <n v="10.31"/>
    <d v="2025-05-06T00:00:00"/>
    <x v="4"/>
    <x v="2"/>
    <x v="3"/>
    <x v="10"/>
  </r>
  <r>
    <s v="TXN351"/>
    <x v="6"/>
    <x v="0"/>
    <n v="14"/>
    <n v="167.09"/>
    <n v="2339.2600000000002"/>
    <d v="2025-02-14T00:00:00"/>
    <x v="4"/>
    <x v="0"/>
    <x v="5"/>
    <x v="4"/>
  </r>
  <r>
    <s v="TXN352"/>
    <x v="6"/>
    <x v="0"/>
    <n v="8"/>
    <n v="140.93"/>
    <n v="1127.44"/>
    <d v="2025-04-03T00:00:00"/>
    <x v="2"/>
    <x v="7"/>
    <x v="6"/>
    <x v="0"/>
  </r>
  <r>
    <s v="TXN353"/>
    <x v="5"/>
    <x v="3"/>
    <n v="19"/>
    <n v="18.350000000000001"/>
    <n v="348.65"/>
    <d v="2025-10-17T00:00:00"/>
    <x v="3"/>
    <x v="7"/>
    <x v="5"/>
    <x v="8"/>
  </r>
  <r>
    <s v="TXN354"/>
    <x v="4"/>
    <x v="4"/>
    <n v="14"/>
    <n v="209.08"/>
    <n v="2927.12"/>
    <d v="2025-07-08T00:00:00"/>
    <x v="4"/>
    <x v="7"/>
    <x v="3"/>
    <x v="1"/>
  </r>
  <r>
    <s v="TXN355"/>
    <x v="0"/>
    <x v="0"/>
    <n v="11"/>
    <n v="173.5"/>
    <n v="1908.5"/>
    <d v="2025-08-21T00:00:00"/>
    <x v="2"/>
    <x v="17"/>
    <x v="6"/>
    <x v="7"/>
  </r>
  <r>
    <s v="TXN356"/>
    <x v="5"/>
    <x v="3"/>
    <n v="8"/>
    <n v="15.49"/>
    <n v="123.92"/>
    <d v="2025-05-06T00:00:00"/>
    <x v="4"/>
    <x v="11"/>
    <x v="3"/>
    <x v="10"/>
  </r>
  <r>
    <s v="TXN357"/>
    <x v="0"/>
    <x v="0"/>
    <n v="18"/>
    <n v="125.64"/>
    <n v="2261.52"/>
    <d v="2025-09-04T00:00:00"/>
    <x v="1"/>
    <x v="10"/>
    <x v="6"/>
    <x v="2"/>
  </r>
  <r>
    <s v="TXN358"/>
    <x v="4"/>
    <x v="4"/>
    <n v="5"/>
    <n v="227.58"/>
    <n v="1137.9000000000001"/>
    <d v="2025-09-14T00:00:00"/>
    <x v="3"/>
    <x v="17"/>
    <x v="1"/>
    <x v="2"/>
  </r>
  <r>
    <s v="TXN359"/>
    <x v="0"/>
    <x v="0"/>
    <n v="1"/>
    <n v="138.94999999999999"/>
    <n v="138.94999999999999"/>
    <d v="2025-08-30T00:00:00"/>
    <x v="4"/>
    <x v="2"/>
    <x v="0"/>
    <x v="7"/>
  </r>
  <r>
    <s v="TXN360"/>
    <x v="0"/>
    <x v="0"/>
    <n v="19"/>
    <n v="157.09"/>
    <n v="2984.71"/>
    <d v="2025-12-02T00:00:00"/>
    <x v="3"/>
    <x v="5"/>
    <x v="3"/>
    <x v="6"/>
  </r>
  <r>
    <s v="TXN361"/>
    <x v="9"/>
    <x v="4"/>
    <n v="14"/>
    <n v="895.47"/>
    <n v="12536.58"/>
    <d v="2025-04-18T00:00:00"/>
    <x v="0"/>
    <x v="8"/>
    <x v="5"/>
    <x v="0"/>
  </r>
  <r>
    <s v="TXN362"/>
    <x v="8"/>
    <x v="5"/>
    <n v="20"/>
    <n v="45.45"/>
    <n v="909"/>
    <d v="2025-06-23T00:00:00"/>
    <x v="0"/>
    <x v="5"/>
    <x v="4"/>
    <x v="11"/>
  </r>
  <r>
    <s v="TXN363"/>
    <x v="8"/>
    <x v="5"/>
    <n v="15"/>
    <n v="33.19"/>
    <n v="497.85"/>
    <d v="2025-02-04T00:00:00"/>
    <x v="0"/>
    <x v="5"/>
    <x v="3"/>
    <x v="4"/>
  </r>
  <r>
    <s v="TXN364"/>
    <x v="8"/>
    <x v="5"/>
    <n v="14"/>
    <n v="25.83"/>
    <n v="361.62"/>
    <d v="2025-10-27T00:00:00"/>
    <x v="2"/>
    <x v="9"/>
    <x v="4"/>
    <x v="8"/>
  </r>
  <r>
    <s v="TXN365"/>
    <x v="9"/>
    <x v="4"/>
    <n v="16"/>
    <n v="811"/>
    <n v="12976"/>
    <d v="2025-03-18T00:00:00"/>
    <x v="2"/>
    <x v="5"/>
    <x v="3"/>
    <x v="9"/>
  </r>
  <r>
    <s v="TXN366"/>
    <x v="4"/>
    <x v="4"/>
    <n v="3"/>
    <n v="232.58"/>
    <n v="697.74"/>
    <d v="2025-01-06T00:00:00"/>
    <x v="2"/>
    <x v="11"/>
    <x v="4"/>
    <x v="3"/>
  </r>
  <r>
    <s v="TXN367"/>
    <x v="9"/>
    <x v="4"/>
    <n v="1"/>
    <n v="935.7"/>
    <n v="935.7"/>
    <d v="2025-11-30T00:00:00"/>
    <x v="0"/>
    <x v="0"/>
    <x v="1"/>
    <x v="5"/>
  </r>
  <r>
    <s v="TXN368"/>
    <x v="9"/>
    <x v="4"/>
    <n v="9"/>
    <n v="931.22"/>
    <n v="8380.98"/>
    <d v="2025-01-30T00:00:00"/>
    <x v="4"/>
    <x v="0"/>
    <x v="6"/>
    <x v="3"/>
  </r>
  <r>
    <s v="TXN369"/>
    <x v="4"/>
    <x v="4"/>
    <n v="9"/>
    <n v="291.75"/>
    <n v="2625.75"/>
    <d v="2025-01-09T00:00:00"/>
    <x v="4"/>
    <x v="4"/>
    <x v="6"/>
    <x v="3"/>
  </r>
  <r>
    <s v="TXN370"/>
    <x v="1"/>
    <x v="1"/>
    <n v="14"/>
    <n v="11.15"/>
    <n v="156.1"/>
    <d v="2025-05-12T00:00:00"/>
    <x v="3"/>
    <x v="11"/>
    <x v="4"/>
    <x v="10"/>
  </r>
  <r>
    <s v="TXN371"/>
    <x v="0"/>
    <x v="0"/>
    <n v="17"/>
    <n v="160.16"/>
    <n v="2722.72"/>
    <d v="2025-11-14T00:00:00"/>
    <x v="4"/>
    <x v="19"/>
    <x v="5"/>
    <x v="5"/>
  </r>
  <r>
    <s v="TXN372"/>
    <x v="5"/>
    <x v="3"/>
    <n v="4"/>
    <n v="12.07"/>
    <n v="48.28"/>
    <d v="2025-05-03T00:00:00"/>
    <x v="3"/>
    <x v="5"/>
    <x v="0"/>
    <x v="10"/>
  </r>
  <r>
    <s v="TXN373"/>
    <x v="3"/>
    <x v="3"/>
    <n v="7"/>
    <n v="1.41"/>
    <n v="9.8699999999999992"/>
    <d v="2025-01-17T00:00:00"/>
    <x v="1"/>
    <x v="3"/>
    <x v="5"/>
    <x v="3"/>
  </r>
  <r>
    <s v="TXN374"/>
    <x v="6"/>
    <x v="0"/>
    <n v="2"/>
    <n v="180.47"/>
    <n v="360.94"/>
    <d v="2025-02-13T00:00:00"/>
    <x v="3"/>
    <x v="18"/>
    <x v="6"/>
    <x v="4"/>
  </r>
  <r>
    <s v="TXN375"/>
    <x v="5"/>
    <x v="3"/>
    <n v="4"/>
    <n v="19.920000000000002"/>
    <n v="79.680000000000007"/>
    <d v="2025-06-11T00:00:00"/>
    <x v="0"/>
    <x v="6"/>
    <x v="2"/>
    <x v="11"/>
  </r>
  <r>
    <s v="TXN376"/>
    <x v="7"/>
    <x v="4"/>
    <n v="1"/>
    <n v="254.54"/>
    <n v="254.54"/>
    <d v="2025-01-11T00:00:00"/>
    <x v="4"/>
    <x v="8"/>
    <x v="0"/>
    <x v="3"/>
  </r>
  <r>
    <s v="TXN377"/>
    <x v="4"/>
    <x v="4"/>
    <n v="19"/>
    <n v="286.64999999999998"/>
    <n v="5446.35"/>
    <d v="2025-05-14T00:00:00"/>
    <x v="4"/>
    <x v="0"/>
    <x v="2"/>
    <x v="10"/>
  </r>
  <r>
    <s v="TXN378"/>
    <x v="0"/>
    <x v="0"/>
    <n v="2"/>
    <n v="199.59"/>
    <n v="399.18"/>
    <d v="2025-01-25T00:00:00"/>
    <x v="4"/>
    <x v="0"/>
    <x v="0"/>
    <x v="3"/>
  </r>
  <r>
    <s v="TXN379"/>
    <x v="1"/>
    <x v="1"/>
    <n v="17"/>
    <n v="8.77"/>
    <n v="149.09"/>
    <d v="2025-01-13T00:00:00"/>
    <x v="4"/>
    <x v="3"/>
    <x v="4"/>
    <x v="3"/>
  </r>
  <r>
    <s v="TXN380"/>
    <x v="4"/>
    <x v="4"/>
    <n v="18"/>
    <n v="168.63"/>
    <n v="3035.34"/>
    <d v="2025-09-08T00:00:00"/>
    <x v="0"/>
    <x v="14"/>
    <x v="4"/>
    <x v="2"/>
  </r>
  <r>
    <s v="TXN381"/>
    <x v="2"/>
    <x v="2"/>
    <n v="1"/>
    <n v="6658.84"/>
    <n v="6658.84"/>
    <d v="2025-04-25T00:00:00"/>
    <x v="2"/>
    <x v="5"/>
    <x v="5"/>
    <x v="0"/>
  </r>
  <r>
    <s v="TXN382"/>
    <x v="4"/>
    <x v="4"/>
    <n v="9"/>
    <n v="166.38"/>
    <n v="1497.42"/>
    <d v="2025-03-06T00:00:00"/>
    <x v="3"/>
    <x v="8"/>
    <x v="6"/>
    <x v="9"/>
  </r>
  <r>
    <s v="TXN383"/>
    <x v="9"/>
    <x v="4"/>
    <n v="13"/>
    <n v="885.9"/>
    <n v="11516.7"/>
    <d v="2025-12-22T00:00:00"/>
    <x v="4"/>
    <x v="9"/>
    <x v="4"/>
    <x v="6"/>
  </r>
  <r>
    <s v="TXN384"/>
    <x v="7"/>
    <x v="4"/>
    <n v="3"/>
    <n v="363.3"/>
    <n v="1089.9000000000001"/>
    <d v="2025-07-28T00:00:00"/>
    <x v="0"/>
    <x v="8"/>
    <x v="4"/>
    <x v="1"/>
  </r>
  <r>
    <s v="TXN385"/>
    <x v="6"/>
    <x v="0"/>
    <n v="3"/>
    <n v="122.09"/>
    <n v="366.27"/>
    <d v="2025-04-25T00:00:00"/>
    <x v="4"/>
    <x v="2"/>
    <x v="5"/>
    <x v="0"/>
  </r>
  <r>
    <s v="TXN386"/>
    <x v="4"/>
    <x v="4"/>
    <n v="10"/>
    <n v="171.14"/>
    <n v="1711.4"/>
    <d v="2025-03-01T00:00:00"/>
    <x v="3"/>
    <x v="0"/>
    <x v="0"/>
    <x v="9"/>
  </r>
  <r>
    <s v="TXN387"/>
    <x v="9"/>
    <x v="4"/>
    <n v="8"/>
    <n v="949.48"/>
    <n v="7595.84"/>
    <d v="2025-05-22T00:00:00"/>
    <x v="0"/>
    <x v="4"/>
    <x v="6"/>
    <x v="10"/>
  </r>
  <r>
    <s v="TXN388"/>
    <x v="2"/>
    <x v="2"/>
    <n v="1"/>
    <n v="5284.47"/>
    <n v="5284.47"/>
    <d v="2025-07-19T00:00:00"/>
    <x v="1"/>
    <x v="11"/>
    <x v="0"/>
    <x v="1"/>
  </r>
  <r>
    <s v="TXN389"/>
    <x v="8"/>
    <x v="5"/>
    <n v="18"/>
    <n v="43.54"/>
    <n v="783.72"/>
    <d v="2025-03-27T00:00:00"/>
    <x v="2"/>
    <x v="7"/>
    <x v="6"/>
    <x v="9"/>
  </r>
  <r>
    <s v="TXN390"/>
    <x v="7"/>
    <x v="4"/>
    <n v="13"/>
    <n v="325.75"/>
    <n v="4234.75"/>
    <d v="2025-07-06T00:00:00"/>
    <x v="0"/>
    <x v="3"/>
    <x v="1"/>
    <x v="1"/>
  </r>
  <r>
    <s v="TXN391"/>
    <x v="1"/>
    <x v="1"/>
    <n v="3"/>
    <n v="10.6"/>
    <n v="31.8"/>
    <d v="2025-06-01T00:00:00"/>
    <x v="4"/>
    <x v="16"/>
    <x v="1"/>
    <x v="11"/>
  </r>
  <r>
    <s v="TXN392"/>
    <x v="3"/>
    <x v="3"/>
    <n v="14"/>
    <n v="1.61"/>
    <n v="22.54"/>
    <d v="2025-05-01T00:00:00"/>
    <x v="0"/>
    <x v="11"/>
    <x v="6"/>
    <x v="10"/>
  </r>
  <r>
    <s v="TXN393"/>
    <x v="6"/>
    <x v="0"/>
    <n v="13"/>
    <n v="149.83000000000001"/>
    <n v="1947.79"/>
    <d v="2025-01-16T00:00:00"/>
    <x v="4"/>
    <x v="2"/>
    <x v="6"/>
    <x v="3"/>
  </r>
  <r>
    <s v="TXN394"/>
    <x v="7"/>
    <x v="4"/>
    <n v="12"/>
    <n v="262.86"/>
    <n v="3154.32"/>
    <d v="2025-11-21T00:00:00"/>
    <x v="2"/>
    <x v="3"/>
    <x v="5"/>
    <x v="5"/>
  </r>
  <r>
    <s v="TXN395"/>
    <x v="2"/>
    <x v="2"/>
    <n v="1"/>
    <n v="9550.0499999999993"/>
    <n v="9550.0499999999993"/>
    <d v="2025-05-12T00:00:00"/>
    <x v="2"/>
    <x v="13"/>
    <x v="4"/>
    <x v="10"/>
  </r>
  <r>
    <s v="TXN396"/>
    <x v="7"/>
    <x v="4"/>
    <n v="3"/>
    <n v="294.24"/>
    <n v="882.72"/>
    <d v="2025-03-10T00:00:00"/>
    <x v="2"/>
    <x v="14"/>
    <x v="4"/>
    <x v="9"/>
  </r>
  <r>
    <s v="TXN397"/>
    <x v="6"/>
    <x v="0"/>
    <n v="2"/>
    <n v="133.13"/>
    <n v="266.26"/>
    <d v="2025-11-22T00:00:00"/>
    <x v="4"/>
    <x v="14"/>
    <x v="0"/>
    <x v="5"/>
  </r>
  <r>
    <s v="TXN398"/>
    <x v="6"/>
    <x v="0"/>
    <n v="19"/>
    <n v="166.68"/>
    <n v="3166.92"/>
    <d v="2025-09-01T00:00:00"/>
    <x v="2"/>
    <x v="8"/>
    <x v="4"/>
    <x v="2"/>
  </r>
  <r>
    <s v="TXN399"/>
    <x v="3"/>
    <x v="3"/>
    <n v="6"/>
    <n v="1.56"/>
    <n v="9.36"/>
    <d v="2025-12-12T00:00:00"/>
    <x v="4"/>
    <x v="19"/>
    <x v="5"/>
    <x v="6"/>
  </r>
  <r>
    <s v="TXN400"/>
    <x v="4"/>
    <x v="4"/>
    <n v="2"/>
    <n v="219.62"/>
    <n v="439.24"/>
    <d v="2025-09-12T00:00:00"/>
    <x v="0"/>
    <x v="12"/>
    <x v="5"/>
    <x v="2"/>
  </r>
  <r>
    <s v="TXN401"/>
    <x v="8"/>
    <x v="5"/>
    <n v="9"/>
    <n v="22.03"/>
    <n v="198.27"/>
    <d v="2025-07-10T00:00:00"/>
    <x v="3"/>
    <x v="8"/>
    <x v="6"/>
    <x v="1"/>
  </r>
  <r>
    <s v="TXN402"/>
    <x v="4"/>
    <x v="4"/>
    <n v="11"/>
    <n v="249.71"/>
    <n v="2746.81"/>
    <d v="2025-11-20T00:00:00"/>
    <x v="4"/>
    <x v="8"/>
    <x v="6"/>
    <x v="5"/>
  </r>
  <r>
    <s v="TXN403"/>
    <x v="1"/>
    <x v="1"/>
    <n v="9"/>
    <n v="7.9"/>
    <n v="71.099999999999994"/>
    <d v="2025-11-20T00:00:00"/>
    <x v="1"/>
    <x v="9"/>
    <x v="6"/>
    <x v="5"/>
  </r>
  <r>
    <s v="TXN404"/>
    <x v="9"/>
    <x v="4"/>
    <n v="20"/>
    <n v="924.73"/>
    <n v="18494.599999999999"/>
    <d v="2025-05-21T00:00:00"/>
    <x v="1"/>
    <x v="8"/>
    <x v="2"/>
    <x v="10"/>
  </r>
  <r>
    <s v="TXN405"/>
    <x v="2"/>
    <x v="2"/>
    <n v="1"/>
    <n v="7430.94"/>
    <n v="7430.94"/>
    <d v="2025-04-09T00:00:00"/>
    <x v="3"/>
    <x v="1"/>
    <x v="2"/>
    <x v="0"/>
  </r>
  <r>
    <s v="TXN406"/>
    <x v="9"/>
    <x v="4"/>
    <n v="5"/>
    <n v="840.12"/>
    <n v="4200.6000000000004"/>
    <d v="2025-09-27T00:00:00"/>
    <x v="0"/>
    <x v="0"/>
    <x v="0"/>
    <x v="2"/>
  </r>
  <r>
    <s v="TXN407"/>
    <x v="3"/>
    <x v="3"/>
    <n v="16"/>
    <n v="2.67"/>
    <n v="42.72"/>
    <d v="2025-03-10T00:00:00"/>
    <x v="0"/>
    <x v="11"/>
    <x v="4"/>
    <x v="9"/>
  </r>
  <r>
    <s v="TXN408"/>
    <x v="7"/>
    <x v="4"/>
    <n v="11"/>
    <n v="230.1"/>
    <n v="2531.1"/>
    <d v="2025-12-24T00:00:00"/>
    <x v="0"/>
    <x v="7"/>
    <x v="2"/>
    <x v="6"/>
  </r>
  <r>
    <s v="TXN409"/>
    <x v="8"/>
    <x v="5"/>
    <n v="16"/>
    <n v="30.6"/>
    <n v="489.6"/>
    <d v="2025-11-11T00:00:00"/>
    <x v="1"/>
    <x v="0"/>
    <x v="3"/>
    <x v="5"/>
  </r>
  <r>
    <s v="TXN410"/>
    <x v="3"/>
    <x v="3"/>
    <n v="20"/>
    <n v="1.29"/>
    <n v="25.8"/>
    <d v="2025-05-04T00:00:00"/>
    <x v="0"/>
    <x v="0"/>
    <x v="1"/>
    <x v="10"/>
  </r>
  <r>
    <s v="TXN411"/>
    <x v="9"/>
    <x v="4"/>
    <n v="12"/>
    <n v="855.91"/>
    <n v="10270.92"/>
    <d v="2025-03-22T00:00:00"/>
    <x v="3"/>
    <x v="1"/>
    <x v="0"/>
    <x v="9"/>
  </r>
  <r>
    <s v="TXN412"/>
    <x v="4"/>
    <x v="4"/>
    <n v="20"/>
    <n v="225.82"/>
    <n v="4516.3999999999996"/>
    <d v="2025-03-15T00:00:00"/>
    <x v="2"/>
    <x v="5"/>
    <x v="0"/>
    <x v="9"/>
  </r>
  <r>
    <s v="TXN413"/>
    <x v="6"/>
    <x v="0"/>
    <n v="16"/>
    <n v="140.62"/>
    <n v="2249.92"/>
    <d v="2025-03-07T00:00:00"/>
    <x v="4"/>
    <x v="5"/>
    <x v="5"/>
    <x v="9"/>
  </r>
  <r>
    <s v="TXN414"/>
    <x v="7"/>
    <x v="4"/>
    <n v="12"/>
    <n v="370.17"/>
    <n v="4442.04"/>
    <d v="2025-11-04T00:00:00"/>
    <x v="2"/>
    <x v="6"/>
    <x v="3"/>
    <x v="5"/>
  </r>
  <r>
    <s v="TXN415"/>
    <x v="1"/>
    <x v="1"/>
    <n v="14"/>
    <n v="8.4"/>
    <n v="117.6"/>
    <d v="2025-09-30T00:00:00"/>
    <x v="2"/>
    <x v="9"/>
    <x v="3"/>
    <x v="2"/>
  </r>
  <r>
    <s v="TXN416"/>
    <x v="1"/>
    <x v="1"/>
    <n v="19"/>
    <n v="12.71"/>
    <n v="241.49"/>
    <d v="2025-01-29T00:00:00"/>
    <x v="4"/>
    <x v="6"/>
    <x v="2"/>
    <x v="3"/>
  </r>
  <r>
    <s v="TXN417"/>
    <x v="5"/>
    <x v="3"/>
    <n v="2"/>
    <n v="18.489999999999998"/>
    <n v="36.979999999999997"/>
    <d v="2025-03-25T00:00:00"/>
    <x v="1"/>
    <x v="17"/>
    <x v="3"/>
    <x v="9"/>
  </r>
  <r>
    <s v="TXN418"/>
    <x v="7"/>
    <x v="4"/>
    <n v="6"/>
    <n v="234.51"/>
    <n v="1407.06"/>
    <d v="2025-02-03T00:00:00"/>
    <x v="0"/>
    <x v="0"/>
    <x v="4"/>
    <x v="4"/>
  </r>
  <r>
    <s v="TXN419"/>
    <x v="6"/>
    <x v="0"/>
    <n v="13"/>
    <n v="198"/>
    <n v="2574"/>
    <d v="2025-07-18T00:00:00"/>
    <x v="0"/>
    <x v="3"/>
    <x v="5"/>
    <x v="1"/>
  </r>
  <r>
    <s v="TXN420"/>
    <x v="9"/>
    <x v="4"/>
    <n v="5"/>
    <n v="876.61"/>
    <n v="4383.05"/>
    <d v="2025-12-20T00:00:00"/>
    <x v="1"/>
    <x v="0"/>
    <x v="0"/>
    <x v="6"/>
  </r>
  <r>
    <s v="TXN421"/>
    <x v="7"/>
    <x v="4"/>
    <n v="5"/>
    <n v="314.06"/>
    <n v="1570.3"/>
    <d v="2025-07-07T00:00:00"/>
    <x v="4"/>
    <x v="8"/>
    <x v="4"/>
    <x v="1"/>
  </r>
  <r>
    <s v="TXN422"/>
    <x v="1"/>
    <x v="1"/>
    <n v="9"/>
    <n v="7.49"/>
    <n v="67.41"/>
    <d v="2025-01-23T00:00:00"/>
    <x v="3"/>
    <x v="3"/>
    <x v="6"/>
    <x v="3"/>
  </r>
  <r>
    <s v="TXN423"/>
    <x v="8"/>
    <x v="5"/>
    <n v="18"/>
    <n v="26.48"/>
    <n v="476.64"/>
    <d v="2025-12-22T00:00:00"/>
    <x v="0"/>
    <x v="17"/>
    <x v="4"/>
    <x v="6"/>
  </r>
  <r>
    <s v="TXN424"/>
    <x v="5"/>
    <x v="3"/>
    <n v="5"/>
    <n v="18.61"/>
    <n v="93.05"/>
    <d v="2025-03-21T00:00:00"/>
    <x v="4"/>
    <x v="14"/>
    <x v="5"/>
    <x v="9"/>
  </r>
  <r>
    <s v="TXN425"/>
    <x v="5"/>
    <x v="3"/>
    <n v="3"/>
    <n v="18.22"/>
    <n v="54.66"/>
    <d v="2025-01-06T00:00:00"/>
    <x v="3"/>
    <x v="3"/>
    <x v="4"/>
    <x v="3"/>
  </r>
  <r>
    <s v="TXN426"/>
    <x v="3"/>
    <x v="3"/>
    <n v="17"/>
    <n v="2.5499999999999998"/>
    <n v="43.35"/>
    <d v="2025-10-31T00:00:00"/>
    <x v="1"/>
    <x v="3"/>
    <x v="5"/>
    <x v="8"/>
  </r>
  <r>
    <s v="TXN427"/>
    <x v="2"/>
    <x v="2"/>
    <n v="1"/>
    <n v="5117.84"/>
    <n v="5117.84"/>
    <d v="2025-01-13T00:00:00"/>
    <x v="1"/>
    <x v="8"/>
    <x v="4"/>
    <x v="3"/>
  </r>
  <r>
    <s v="TXN428"/>
    <x v="8"/>
    <x v="5"/>
    <n v="12"/>
    <n v="20.3"/>
    <n v="243.6"/>
    <d v="2025-04-19T00:00:00"/>
    <x v="2"/>
    <x v="3"/>
    <x v="0"/>
    <x v="0"/>
  </r>
  <r>
    <s v="TXN429"/>
    <x v="8"/>
    <x v="5"/>
    <n v="18"/>
    <n v="34.97"/>
    <n v="629.46"/>
    <d v="2025-03-23T00:00:00"/>
    <x v="3"/>
    <x v="4"/>
    <x v="1"/>
    <x v="9"/>
  </r>
  <r>
    <s v="TXN430"/>
    <x v="9"/>
    <x v="4"/>
    <n v="17"/>
    <n v="844.38"/>
    <n v="14354.46"/>
    <d v="2025-09-11T00:00:00"/>
    <x v="4"/>
    <x v="3"/>
    <x v="6"/>
    <x v="2"/>
  </r>
  <r>
    <s v="TXN431"/>
    <x v="2"/>
    <x v="2"/>
    <n v="1"/>
    <n v="8617.42"/>
    <n v="8617.42"/>
    <d v="2025-09-09T00:00:00"/>
    <x v="0"/>
    <x v="0"/>
    <x v="3"/>
    <x v="2"/>
  </r>
  <r>
    <s v="TXN432"/>
    <x v="6"/>
    <x v="0"/>
    <n v="13"/>
    <n v="113.56"/>
    <n v="1476.28"/>
    <d v="2025-08-10T00:00:00"/>
    <x v="2"/>
    <x v="7"/>
    <x v="1"/>
    <x v="7"/>
  </r>
  <r>
    <s v="TXN433"/>
    <x v="1"/>
    <x v="1"/>
    <n v="3"/>
    <n v="5.49"/>
    <n v="16.47"/>
    <d v="2025-05-16T00:00:00"/>
    <x v="4"/>
    <x v="17"/>
    <x v="5"/>
    <x v="10"/>
  </r>
  <r>
    <s v="TXN434"/>
    <x v="2"/>
    <x v="2"/>
    <n v="1"/>
    <n v="8104.62"/>
    <n v="8104.62"/>
    <d v="2025-10-17T00:00:00"/>
    <x v="2"/>
    <x v="5"/>
    <x v="5"/>
    <x v="8"/>
  </r>
  <r>
    <s v="TXN435"/>
    <x v="4"/>
    <x v="4"/>
    <n v="7"/>
    <n v="265.41000000000003"/>
    <n v="1857.87"/>
    <d v="2025-03-18T00:00:00"/>
    <x v="3"/>
    <x v="8"/>
    <x v="3"/>
    <x v="9"/>
  </r>
  <r>
    <s v="TXN436"/>
    <x v="9"/>
    <x v="4"/>
    <n v="2"/>
    <n v="806.52"/>
    <n v="1613.04"/>
    <d v="2025-05-16T00:00:00"/>
    <x v="4"/>
    <x v="3"/>
    <x v="5"/>
    <x v="10"/>
  </r>
  <r>
    <s v="TXN437"/>
    <x v="9"/>
    <x v="4"/>
    <n v="9"/>
    <n v="926.54"/>
    <n v="8338.86"/>
    <d v="2025-02-23T00:00:00"/>
    <x v="2"/>
    <x v="18"/>
    <x v="1"/>
    <x v="4"/>
  </r>
  <r>
    <s v="TXN438"/>
    <x v="7"/>
    <x v="4"/>
    <n v="3"/>
    <n v="244.23"/>
    <n v="732.69"/>
    <d v="2025-11-07T00:00:00"/>
    <x v="4"/>
    <x v="8"/>
    <x v="5"/>
    <x v="5"/>
  </r>
  <r>
    <s v="TXN439"/>
    <x v="5"/>
    <x v="3"/>
    <n v="12"/>
    <n v="16.350000000000001"/>
    <n v="196.2"/>
    <d v="2025-07-28T00:00:00"/>
    <x v="4"/>
    <x v="1"/>
    <x v="4"/>
    <x v="1"/>
  </r>
  <r>
    <s v="TXN440"/>
    <x v="9"/>
    <x v="4"/>
    <n v="17"/>
    <n v="934.77"/>
    <n v="15891.09"/>
    <d v="2025-02-17T00:00:00"/>
    <x v="2"/>
    <x v="17"/>
    <x v="4"/>
    <x v="4"/>
  </r>
  <r>
    <s v="TXN441"/>
    <x v="1"/>
    <x v="1"/>
    <n v="13"/>
    <n v="13.56"/>
    <n v="176.28"/>
    <d v="2025-01-04T00:00:00"/>
    <x v="2"/>
    <x v="3"/>
    <x v="0"/>
    <x v="3"/>
  </r>
  <r>
    <s v="TXN442"/>
    <x v="4"/>
    <x v="4"/>
    <n v="6"/>
    <n v="194.52"/>
    <n v="1167.1199999999999"/>
    <d v="2025-09-13T00:00:00"/>
    <x v="2"/>
    <x v="9"/>
    <x v="0"/>
    <x v="2"/>
  </r>
  <r>
    <s v="TXN443"/>
    <x v="9"/>
    <x v="4"/>
    <n v="11"/>
    <n v="968.59"/>
    <n v="10654.49"/>
    <d v="2025-12-08T00:00:00"/>
    <x v="4"/>
    <x v="17"/>
    <x v="4"/>
    <x v="6"/>
  </r>
  <r>
    <s v="TXN444"/>
    <x v="0"/>
    <x v="0"/>
    <n v="13"/>
    <n v="154.6"/>
    <n v="2009.8"/>
    <d v="2025-08-05T00:00:00"/>
    <x v="4"/>
    <x v="9"/>
    <x v="3"/>
    <x v="7"/>
  </r>
  <r>
    <s v="TXN445"/>
    <x v="6"/>
    <x v="0"/>
    <n v="10"/>
    <n v="114.7"/>
    <n v="1147"/>
    <d v="2025-06-14T00:00:00"/>
    <x v="1"/>
    <x v="19"/>
    <x v="0"/>
    <x v="11"/>
  </r>
  <r>
    <s v="TXN446"/>
    <x v="9"/>
    <x v="4"/>
    <n v="1"/>
    <n v="953.39"/>
    <n v="953.39"/>
    <d v="2025-12-06T00:00:00"/>
    <x v="3"/>
    <x v="15"/>
    <x v="0"/>
    <x v="6"/>
  </r>
  <r>
    <s v="TXN447"/>
    <x v="2"/>
    <x v="2"/>
    <n v="1"/>
    <n v="6738.19"/>
    <n v="6738.19"/>
    <d v="2025-10-18T00:00:00"/>
    <x v="3"/>
    <x v="0"/>
    <x v="0"/>
    <x v="8"/>
  </r>
  <r>
    <s v="TXN448"/>
    <x v="3"/>
    <x v="3"/>
    <n v="7"/>
    <n v="2.96"/>
    <n v="20.72"/>
    <d v="2025-05-24T00:00:00"/>
    <x v="0"/>
    <x v="11"/>
    <x v="0"/>
    <x v="10"/>
  </r>
  <r>
    <s v="TXN449"/>
    <x v="8"/>
    <x v="5"/>
    <n v="2"/>
    <n v="39"/>
    <n v="78"/>
    <d v="2025-03-12T00:00:00"/>
    <x v="1"/>
    <x v="16"/>
    <x v="2"/>
    <x v="9"/>
  </r>
  <r>
    <s v="TXN450"/>
    <x v="2"/>
    <x v="2"/>
    <n v="1"/>
    <n v="5047.01"/>
    <n v="5047.01"/>
    <d v="2025-09-21T00:00:00"/>
    <x v="3"/>
    <x v="9"/>
    <x v="1"/>
    <x v="2"/>
  </r>
  <r>
    <s v="TXN451"/>
    <x v="8"/>
    <x v="5"/>
    <n v="6"/>
    <n v="29.86"/>
    <n v="179.16"/>
    <d v="2025-02-06T00:00:00"/>
    <x v="3"/>
    <x v="10"/>
    <x v="6"/>
    <x v="4"/>
  </r>
  <r>
    <s v="TXN452"/>
    <x v="4"/>
    <x v="4"/>
    <n v="18"/>
    <n v="152.01"/>
    <n v="2736.18"/>
    <d v="2025-03-22T00:00:00"/>
    <x v="4"/>
    <x v="17"/>
    <x v="0"/>
    <x v="9"/>
  </r>
  <r>
    <s v="TXN453"/>
    <x v="1"/>
    <x v="1"/>
    <n v="6"/>
    <n v="8.6"/>
    <n v="51.6"/>
    <d v="2025-09-03T00:00:00"/>
    <x v="2"/>
    <x v="18"/>
    <x v="2"/>
    <x v="2"/>
  </r>
  <r>
    <s v="TXN454"/>
    <x v="1"/>
    <x v="1"/>
    <n v="16"/>
    <n v="5.35"/>
    <n v="85.6"/>
    <d v="2025-07-31T00:00:00"/>
    <x v="1"/>
    <x v="1"/>
    <x v="6"/>
    <x v="1"/>
  </r>
  <r>
    <s v="TXN455"/>
    <x v="8"/>
    <x v="5"/>
    <n v="4"/>
    <n v="30.47"/>
    <n v="121.88"/>
    <d v="2025-04-10T00:00:00"/>
    <x v="1"/>
    <x v="4"/>
    <x v="6"/>
    <x v="0"/>
  </r>
  <r>
    <s v="TXN456"/>
    <x v="8"/>
    <x v="5"/>
    <n v="13"/>
    <n v="42.31"/>
    <n v="550.03"/>
    <d v="2025-07-12T00:00:00"/>
    <x v="2"/>
    <x v="2"/>
    <x v="0"/>
    <x v="1"/>
  </r>
  <r>
    <s v="TXN457"/>
    <x v="7"/>
    <x v="4"/>
    <n v="18"/>
    <n v="255.8"/>
    <n v="4604.3999999999996"/>
    <d v="2025-10-09T00:00:00"/>
    <x v="0"/>
    <x v="5"/>
    <x v="6"/>
    <x v="8"/>
  </r>
  <r>
    <s v="TXN458"/>
    <x v="4"/>
    <x v="4"/>
    <n v="20"/>
    <n v="205.73"/>
    <n v="4114.6000000000004"/>
    <d v="2025-06-04T00:00:00"/>
    <x v="2"/>
    <x v="11"/>
    <x v="2"/>
    <x v="11"/>
  </r>
  <r>
    <s v="TXN459"/>
    <x v="2"/>
    <x v="2"/>
    <n v="1"/>
    <n v="6685.33"/>
    <n v="6685.33"/>
    <d v="2025-04-23T00:00:00"/>
    <x v="0"/>
    <x v="19"/>
    <x v="2"/>
    <x v="0"/>
  </r>
  <r>
    <s v="TXN460"/>
    <x v="7"/>
    <x v="4"/>
    <n v="11"/>
    <n v="282.5"/>
    <n v="3107.5"/>
    <d v="2025-04-02T00:00:00"/>
    <x v="1"/>
    <x v="18"/>
    <x v="2"/>
    <x v="0"/>
  </r>
  <r>
    <s v="TXN461"/>
    <x v="5"/>
    <x v="3"/>
    <n v="14"/>
    <n v="11.02"/>
    <n v="154.28"/>
    <d v="2025-02-24T00:00:00"/>
    <x v="0"/>
    <x v="15"/>
    <x v="4"/>
    <x v="4"/>
  </r>
  <r>
    <s v="TXN462"/>
    <x v="8"/>
    <x v="5"/>
    <n v="17"/>
    <n v="34.659999999999997"/>
    <n v="589.22"/>
    <d v="2025-01-13T00:00:00"/>
    <x v="0"/>
    <x v="8"/>
    <x v="4"/>
    <x v="3"/>
  </r>
  <r>
    <s v="TXN463"/>
    <x v="3"/>
    <x v="3"/>
    <n v="7"/>
    <n v="1.42"/>
    <n v="9.94"/>
    <d v="2025-06-04T00:00:00"/>
    <x v="1"/>
    <x v="14"/>
    <x v="2"/>
    <x v="11"/>
  </r>
  <r>
    <s v="TXN464"/>
    <x v="3"/>
    <x v="3"/>
    <n v="3"/>
    <n v="2.98"/>
    <n v="8.94"/>
    <d v="2025-01-20T00:00:00"/>
    <x v="0"/>
    <x v="6"/>
    <x v="4"/>
    <x v="3"/>
  </r>
  <r>
    <s v="TXN465"/>
    <x v="1"/>
    <x v="1"/>
    <n v="10"/>
    <n v="9.52"/>
    <n v="95.2"/>
    <d v="2025-07-18T00:00:00"/>
    <x v="0"/>
    <x v="11"/>
    <x v="5"/>
    <x v="1"/>
  </r>
  <r>
    <s v="TXN466"/>
    <x v="0"/>
    <x v="0"/>
    <n v="7"/>
    <n v="185.08"/>
    <n v="1295.56"/>
    <d v="2025-01-11T00:00:00"/>
    <x v="4"/>
    <x v="14"/>
    <x v="0"/>
    <x v="3"/>
  </r>
  <r>
    <s v="TXN467"/>
    <x v="5"/>
    <x v="3"/>
    <n v="6"/>
    <n v="17.63"/>
    <n v="105.78"/>
    <d v="2025-06-12T00:00:00"/>
    <x v="1"/>
    <x v="4"/>
    <x v="6"/>
    <x v="11"/>
  </r>
  <r>
    <s v="TXN468"/>
    <x v="7"/>
    <x v="4"/>
    <n v="17"/>
    <n v="202.33"/>
    <n v="3439.61"/>
    <d v="2025-02-08T00:00:00"/>
    <x v="4"/>
    <x v="7"/>
    <x v="0"/>
    <x v="4"/>
  </r>
  <r>
    <s v="TXN469"/>
    <x v="0"/>
    <x v="0"/>
    <n v="11"/>
    <n v="150.66"/>
    <n v="1657.26"/>
    <d v="2025-03-07T00:00:00"/>
    <x v="3"/>
    <x v="14"/>
    <x v="5"/>
    <x v="9"/>
  </r>
  <r>
    <s v="TXN470"/>
    <x v="1"/>
    <x v="1"/>
    <n v="10"/>
    <n v="14.35"/>
    <n v="143.5"/>
    <d v="2025-08-08T00:00:00"/>
    <x v="3"/>
    <x v="8"/>
    <x v="5"/>
    <x v="7"/>
  </r>
  <r>
    <s v="TXN471"/>
    <x v="5"/>
    <x v="3"/>
    <n v="15"/>
    <n v="18.14"/>
    <n v="272.10000000000002"/>
    <d v="2025-07-20T00:00:00"/>
    <x v="1"/>
    <x v="4"/>
    <x v="1"/>
    <x v="1"/>
  </r>
  <r>
    <s v="TXN472"/>
    <x v="9"/>
    <x v="4"/>
    <n v="18"/>
    <n v="840.57"/>
    <n v="15130.26"/>
    <d v="2025-03-05T00:00:00"/>
    <x v="0"/>
    <x v="18"/>
    <x v="2"/>
    <x v="9"/>
  </r>
  <r>
    <s v="TXN473"/>
    <x v="2"/>
    <x v="2"/>
    <n v="1"/>
    <n v="5151.72"/>
    <n v="5151.72"/>
    <d v="2025-07-29T00:00:00"/>
    <x v="0"/>
    <x v="12"/>
    <x v="3"/>
    <x v="1"/>
  </r>
  <r>
    <s v="TXN474"/>
    <x v="3"/>
    <x v="3"/>
    <n v="16"/>
    <n v="1.81"/>
    <n v="28.96"/>
    <d v="2025-02-10T00:00:00"/>
    <x v="0"/>
    <x v="3"/>
    <x v="4"/>
    <x v="4"/>
  </r>
  <r>
    <s v="TXN475"/>
    <x v="5"/>
    <x v="3"/>
    <n v="16"/>
    <n v="13.12"/>
    <n v="209.92"/>
    <d v="2025-09-14T00:00:00"/>
    <x v="1"/>
    <x v="4"/>
    <x v="1"/>
    <x v="2"/>
  </r>
  <r>
    <s v="TXN476"/>
    <x v="2"/>
    <x v="2"/>
    <n v="1"/>
    <n v="5159.92"/>
    <n v="5159.92"/>
    <d v="2025-10-11T00:00:00"/>
    <x v="0"/>
    <x v="9"/>
    <x v="0"/>
    <x v="8"/>
  </r>
  <r>
    <s v="TXN477"/>
    <x v="8"/>
    <x v="5"/>
    <n v="15"/>
    <n v="21.66"/>
    <n v="324.89999999999998"/>
    <d v="2025-12-14T00:00:00"/>
    <x v="3"/>
    <x v="4"/>
    <x v="1"/>
    <x v="6"/>
  </r>
  <r>
    <s v="TXN478"/>
    <x v="5"/>
    <x v="3"/>
    <n v="6"/>
    <n v="16.09"/>
    <n v="96.54"/>
    <d v="2025-08-10T00:00:00"/>
    <x v="3"/>
    <x v="6"/>
    <x v="1"/>
    <x v="7"/>
  </r>
  <r>
    <s v="TXN479"/>
    <x v="1"/>
    <x v="1"/>
    <n v="2"/>
    <n v="14.14"/>
    <n v="28.28"/>
    <d v="2025-12-26T00:00:00"/>
    <x v="4"/>
    <x v="2"/>
    <x v="5"/>
    <x v="6"/>
  </r>
  <r>
    <s v="TXN480"/>
    <x v="5"/>
    <x v="3"/>
    <n v="6"/>
    <n v="12.06"/>
    <n v="72.36"/>
    <d v="2025-07-28T00:00:00"/>
    <x v="1"/>
    <x v="7"/>
    <x v="4"/>
    <x v="1"/>
  </r>
  <r>
    <s v="TXN481"/>
    <x v="1"/>
    <x v="1"/>
    <n v="6"/>
    <n v="7"/>
    <n v="42"/>
    <d v="2025-05-12T00:00:00"/>
    <x v="0"/>
    <x v="13"/>
    <x v="4"/>
    <x v="10"/>
  </r>
  <r>
    <s v="TXN482"/>
    <x v="4"/>
    <x v="4"/>
    <n v="16"/>
    <n v="260.2"/>
    <n v="4163.2"/>
    <d v="2025-09-02T00:00:00"/>
    <x v="0"/>
    <x v="7"/>
    <x v="3"/>
    <x v="2"/>
  </r>
  <r>
    <s v="TXN483"/>
    <x v="7"/>
    <x v="4"/>
    <n v="7"/>
    <n v="348.06"/>
    <n v="2436.42"/>
    <d v="2025-04-25T00:00:00"/>
    <x v="4"/>
    <x v="4"/>
    <x v="5"/>
    <x v="0"/>
  </r>
  <r>
    <s v="TXN484"/>
    <x v="5"/>
    <x v="3"/>
    <n v="10"/>
    <n v="18.07"/>
    <n v="180.7"/>
    <d v="2025-04-20T00:00:00"/>
    <x v="0"/>
    <x v="10"/>
    <x v="1"/>
    <x v="0"/>
  </r>
  <r>
    <s v="TXN485"/>
    <x v="4"/>
    <x v="4"/>
    <n v="16"/>
    <n v="200.15"/>
    <n v="3202.4"/>
    <d v="2025-10-13T00:00:00"/>
    <x v="3"/>
    <x v="12"/>
    <x v="4"/>
    <x v="8"/>
  </r>
  <r>
    <s v="TXN486"/>
    <x v="8"/>
    <x v="5"/>
    <n v="19"/>
    <n v="27.44"/>
    <n v="521.36"/>
    <d v="2025-06-16T00:00:00"/>
    <x v="4"/>
    <x v="14"/>
    <x v="4"/>
    <x v="11"/>
  </r>
  <r>
    <s v="TXN487"/>
    <x v="3"/>
    <x v="3"/>
    <n v="12"/>
    <n v="1.24"/>
    <n v="14.88"/>
    <d v="2025-08-27T00:00:00"/>
    <x v="3"/>
    <x v="11"/>
    <x v="2"/>
    <x v="7"/>
  </r>
  <r>
    <s v="TXN488"/>
    <x v="9"/>
    <x v="4"/>
    <n v="18"/>
    <n v="969.94"/>
    <n v="17458.919999999998"/>
    <d v="2025-06-06T00:00:00"/>
    <x v="0"/>
    <x v="7"/>
    <x v="5"/>
    <x v="11"/>
  </r>
  <r>
    <s v="TXN489"/>
    <x v="9"/>
    <x v="4"/>
    <n v="15"/>
    <n v="836.99"/>
    <n v="12554.85"/>
    <d v="2025-12-18T00:00:00"/>
    <x v="1"/>
    <x v="7"/>
    <x v="6"/>
    <x v="6"/>
  </r>
  <r>
    <s v="TXN490"/>
    <x v="5"/>
    <x v="3"/>
    <n v="9"/>
    <n v="13.57"/>
    <n v="122.13"/>
    <d v="2025-05-28T00:00:00"/>
    <x v="4"/>
    <x v="12"/>
    <x v="2"/>
    <x v="10"/>
  </r>
  <r>
    <s v="TXN491"/>
    <x v="8"/>
    <x v="5"/>
    <n v="5"/>
    <n v="20.67"/>
    <n v="103.35"/>
    <d v="2025-04-18T00:00:00"/>
    <x v="4"/>
    <x v="5"/>
    <x v="5"/>
    <x v="0"/>
  </r>
  <r>
    <s v="TXN492"/>
    <x v="8"/>
    <x v="5"/>
    <n v="16"/>
    <n v="28.97"/>
    <n v="463.52"/>
    <d v="2025-11-09T00:00:00"/>
    <x v="3"/>
    <x v="14"/>
    <x v="1"/>
    <x v="5"/>
  </r>
  <r>
    <s v="TXN493"/>
    <x v="8"/>
    <x v="5"/>
    <n v="12"/>
    <n v="23.55"/>
    <n v="282.60000000000002"/>
    <d v="2025-05-19T00:00:00"/>
    <x v="1"/>
    <x v="10"/>
    <x v="4"/>
    <x v="10"/>
  </r>
  <r>
    <s v="TXN494"/>
    <x v="5"/>
    <x v="3"/>
    <n v="4"/>
    <n v="15.67"/>
    <n v="62.68"/>
    <d v="2025-07-03T00:00:00"/>
    <x v="1"/>
    <x v="4"/>
    <x v="6"/>
    <x v="1"/>
  </r>
  <r>
    <s v="TXN495"/>
    <x v="7"/>
    <x v="4"/>
    <n v="4"/>
    <n v="310.33999999999997"/>
    <n v="1241.3599999999999"/>
    <d v="2025-01-09T00:00:00"/>
    <x v="4"/>
    <x v="12"/>
    <x v="6"/>
    <x v="3"/>
  </r>
  <r>
    <s v="TXN496"/>
    <x v="6"/>
    <x v="0"/>
    <n v="19"/>
    <n v="104.12"/>
    <n v="1978.28"/>
    <d v="2025-08-20T00:00:00"/>
    <x v="4"/>
    <x v="17"/>
    <x v="2"/>
    <x v="7"/>
  </r>
  <r>
    <s v="TXN497"/>
    <x v="9"/>
    <x v="4"/>
    <n v="5"/>
    <n v="919.08"/>
    <n v="4595.3999999999996"/>
    <d v="2025-08-15T00:00:00"/>
    <x v="3"/>
    <x v="7"/>
    <x v="5"/>
    <x v="7"/>
  </r>
  <r>
    <s v="TXN498"/>
    <x v="3"/>
    <x v="3"/>
    <n v="3"/>
    <n v="1.51"/>
    <n v="4.53"/>
    <d v="2025-05-12T00:00:00"/>
    <x v="4"/>
    <x v="15"/>
    <x v="4"/>
    <x v="10"/>
  </r>
  <r>
    <s v="TXN499"/>
    <x v="6"/>
    <x v="0"/>
    <n v="17"/>
    <n v="162.01"/>
    <n v="2754.17"/>
    <d v="2025-03-14T00:00:00"/>
    <x v="2"/>
    <x v="13"/>
    <x v="5"/>
    <x v="9"/>
  </r>
  <r>
    <s v="TXN500"/>
    <x v="1"/>
    <x v="1"/>
    <n v="4"/>
    <n v="13.64"/>
    <n v="54.56"/>
    <d v="2025-03-02T00:00:00"/>
    <x v="0"/>
    <x v="17"/>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7A5125-6BFB-4227-8DDB-01B22916ABAB}" name="PivotTable5"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Buyers">
  <location ref="P3:Q13" firstHeaderRow="1" firstDataRow="1" firstDataCol="1"/>
  <pivotFields count="11">
    <pivotField showAll="0"/>
    <pivotField showAll="0"/>
    <pivotField showAll="0"/>
    <pivotField showAll="0"/>
    <pivotField showAll="0"/>
    <pivotField dataField="1" showAll="0"/>
    <pivotField showAll="0"/>
    <pivotField showAll="0"/>
    <pivotField axis="axisRow" showAll="0" measureFilter="1" sortType="descending">
      <items count="21">
        <item x="7"/>
        <item x="4"/>
        <item x="3"/>
        <item x="13"/>
        <item x="17"/>
        <item x="16"/>
        <item x="18"/>
        <item x="1"/>
        <item x="11"/>
        <item x="14"/>
        <item x="6"/>
        <item x="0"/>
        <item x="12"/>
        <item x="15"/>
        <item x="8"/>
        <item x="9"/>
        <item x="2"/>
        <item x="19"/>
        <item x="10"/>
        <item x="5"/>
        <item t="default"/>
      </items>
    </pivotField>
    <pivotField showAll="0">
      <items count="8">
        <item x="1"/>
        <item x="4"/>
        <item x="3"/>
        <item x="2"/>
        <item x="6"/>
        <item x="5"/>
        <item x="0"/>
        <item t="default"/>
      </items>
    </pivotField>
    <pivotField showAll="0">
      <items count="13">
        <item x="3"/>
        <item x="4"/>
        <item x="9"/>
        <item x="0"/>
        <item x="10"/>
        <item x="11"/>
        <item x="1"/>
        <item x="7"/>
        <item x="2"/>
        <item x="8"/>
        <item x="5"/>
        <item x="6"/>
        <item t="default"/>
      </items>
    </pivotField>
  </pivotFields>
  <rowFields count="1">
    <field x="8"/>
  </rowFields>
  <rowItems count="10">
    <i>
      <x/>
    </i>
    <i>
      <x v="1"/>
    </i>
    <i>
      <x v="6"/>
    </i>
    <i>
      <x v="9"/>
    </i>
    <i>
      <x v="11"/>
    </i>
    <i>
      <x v="12"/>
    </i>
    <i>
      <x v="14"/>
    </i>
    <i>
      <x v="15"/>
    </i>
    <i>
      <x v="17"/>
    </i>
    <i>
      <x v="19"/>
    </i>
  </rowItems>
  <colItems count="1">
    <i/>
  </colItems>
  <dataFields count="1">
    <dataField name="Total__Cost" fld="5" baseField="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24C2FF-1CEC-4269-A0E6-4587D5A6737E}" name="PivotTable6"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Items">
  <location ref="S3:U13" firstHeaderRow="0" firstDataRow="1" firstDataCol="1"/>
  <pivotFields count="11">
    <pivotField showAll="0"/>
    <pivotField axis="axisRow" showAll="0">
      <items count="11">
        <item x="2"/>
        <item x="0"/>
        <item x="9"/>
        <item x="8"/>
        <item x="7"/>
        <item x="3"/>
        <item x="4"/>
        <item x="5"/>
        <item x="1"/>
        <item x="6"/>
        <item t="default"/>
      </items>
    </pivotField>
    <pivotField showAll="0"/>
    <pivotField dataField="1" showAll="0"/>
    <pivotField showAll="0"/>
    <pivotField dataField="1" showAll="0"/>
    <pivotField showAll="0"/>
    <pivotField showAll="0"/>
    <pivotField showAll="0"/>
    <pivotField showAll="0">
      <items count="8">
        <item x="1"/>
        <item x="4"/>
        <item x="3"/>
        <item x="2"/>
        <item x="6"/>
        <item x="5"/>
        <item x="0"/>
        <item t="default"/>
      </items>
    </pivotField>
    <pivotField showAll="0">
      <items count="13">
        <item x="3"/>
        <item x="4"/>
        <item x="9"/>
        <item x="0"/>
        <item x="10"/>
        <item x="11"/>
        <item x="1"/>
        <item x="7"/>
        <item x="2"/>
        <item x="8"/>
        <item x="5"/>
        <item x="6"/>
        <item t="default"/>
      </items>
    </pivotField>
  </pivotFields>
  <rowFields count="1">
    <field x="1"/>
  </rowFields>
  <rowItems count="10">
    <i>
      <x/>
    </i>
    <i>
      <x v="1"/>
    </i>
    <i>
      <x v="2"/>
    </i>
    <i>
      <x v="3"/>
    </i>
    <i>
      <x v="4"/>
    </i>
    <i>
      <x v="5"/>
    </i>
    <i>
      <x v="6"/>
    </i>
    <i>
      <x v="7"/>
    </i>
    <i>
      <x v="8"/>
    </i>
    <i>
      <x v="9"/>
    </i>
  </rowItems>
  <colFields count="1">
    <field x="-2"/>
  </colFields>
  <colItems count="2">
    <i>
      <x/>
    </i>
    <i i="1">
      <x v="1"/>
    </i>
  </colItems>
  <dataFields count="2">
    <dataField name=" Total_Quantity" fld="3" baseField="1" baseItem="0"/>
    <dataField name="Total_CosT" fld="5" baseField="1"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08537F-861B-49B4-B422-412041659E8D}" name="Category"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rowHeaderCaption="Category">
  <location ref="A3:B9" firstHeaderRow="1" firstDataRow="1" firstDataCol="1"/>
  <pivotFields count="11">
    <pivotField showAll="0"/>
    <pivotField showAll="0"/>
    <pivotField axis="axisRow" showAll="0">
      <items count="7">
        <item x="5"/>
        <item x="4"/>
        <item x="0"/>
        <item x="1"/>
        <item x="2"/>
        <item x="3"/>
        <item t="default"/>
      </items>
    </pivotField>
    <pivotField showAll="0"/>
    <pivotField showAll="0"/>
    <pivotField dataField="1" showAll="0"/>
    <pivotField showAll="0"/>
    <pivotField showAll="0"/>
    <pivotField showAll="0"/>
    <pivotField showAll="0">
      <items count="8">
        <item x="1"/>
        <item x="4"/>
        <item x="3"/>
        <item x="2"/>
        <item x="6"/>
        <item x="5"/>
        <item x="0"/>
        <item t="default"/>
      </items>
    </pivotField>
    <pivotField showAll="0">
      <items count="13">
        <item x="3"/>
        <item x="4"/>
        <item x="9"/>
        <item x="0"/>
        <item x="10"/>
        <item x="11"/>
        <item x="1"/>
        <item x="7"/>
        <item x="2"/>
        <item x="8"/>
        <item x="5"/>
        <item x="6"/>
        <item t="default"/>
      </items>
    </pivotField>
  </pivotFields>
  <rowFields count="1">
    <field x="2"/>
  </rowFields>
  <rowItems count="6">
    <i>
      <x/>
    </i>
    <i>
      <x v="1"/>
    </i>
    <i>
      <x v="2"/>
    </i>
    <i>
      <x v="3"/>
    </i>
    <i>
      <x v="4"/>
    </i>
    <i>
      <x v="5"/>
    </i>
  </rowItems>
  <colItems count="1">
    <i/>
  </colItems>
  <dataFields count="1">
    <dataField name="Sum of TotalCos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A00484-A1CE-487B-AAEB-964A78988C79}" name="PivotTable1"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1" rowHeaderCaption="Buyers">
  <location ref="W3:Y4" firstHeaderRow="0" firstDataRow="1" firstDataCol="0"/>
  <pivotFields count="11">
    <pivotField showAll="0"/>
    <pivotField dataField="1" showAll="0"/>
    <pivotField showAll="0"/>
    <pivotField dataField="1" showAll="0"/>
    <pivotField showAll="0"/>
    <pivotField dataField="1" showAll="0"/>
    <pivotField showAll="0"/>
    <pivotField showAll="0"/>
    <pivotField showAll="0"/>
    <pivotField showAll="0">
      <items count="8">
        <item x="1"/>
        <item x="4"/>
        <item x="3"/>
        <item x="2"/>
        <item x="6"/>
        <item x="5"/>
        <item x="0"/>
        <item t="default"/>
      </items>
    </pivotField>
    <pivotField showAll="0">
      <items count="13">
        <item x="3"/>
        <item x="4"/>
        <item x="9"/>
        <item x="0"/>
        <item x="10"/>
        <item x="11"/>
        <item x="1"/>
        <item x="7"/>
        <item x="2"/>
        <item x="8"/>
        <item x="5"/>
        <item x="6"/>
        <item t="default"/>
      </items>
    </pivotField>
  </pivotFields>
  <rowItems count="1">
    <i/>
  </rowItems>
  <colFields count="1">
    <field x="-2"/>
  </colFields>
  <colItems count="3">
    <i>
      <x/>
    </i>
    <i i="1">
      <x v="1"/>
    </i>
    <i i="2">
      <x v="2"/>
    </i>
  </colItems>
  <dataFields count="3">
    <dataField name="Sum of Quantity" fld="3" baseField="0" baseItem="0" numFmtId="164"/>
    <dataField name="Sum of TotalCost" fld="5" baseField="0" baseItem="0" numFmtId="165"/>
    <dataField name="Count of ItemName" fld="1" subtotal="count" baseField="0" baseItem="0"/>
  </dataFields>
  <formats count="2">
    <format dxfId="22">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2CE139-D43F-4E57-BA46-B11C6E559455}" name="PivotTable4"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5" rowHeaderCaption="Items">
  <location ref="M3:N13" firstHeaderRow="1" firstDataRow="1" firstDataCol="1"/>
  <pivotFields count="11">
    <pivotField showAll="0"/>
    <pivotField axis="axisRow" showAll="0">
      <items count="11">
        <item x="2"/>
        <item x="0"/>
        <item x="9"/>
        <item x="8"/>
        <item x="7"/>
        <item x="3"/>
        <item x="4"/>
        <item x="5"/>
        <item x="1"/>
        <item x="6"/>
        <item t="default"/>
      </items>
    </pivotField>
    <pivotField showAll="0"/>
    <pivotField dataField="1" showAll="0"/>
    <pivotField showAll="0"/>
    <pivotField showAll="0"/>
    <pivotField showAll="0"/>
    <pivotField showAll="0"/>
    <pivotField showAll="0"/>
    <pivotField showAll="0">
      <items count="8">
        <item x="1"/>
        <item x="4"/>
        <item x="3"/>
        <item x="2"/>
        <item x="6"/>
        <item x="5"/>
        <item x="0"/>
        <item t="default"/>
      </items>
    </pivotField>
    <pivotField showAll="0">
      <items count="13">
        <item x="3"/>
        <item x="4"/>
        <item x="9"/>
        <item x="0"/>
        <item x="10"/>
        <item x="11"/>
        <item x="1"/>
        <item x="7"/>
        <item x="2"/>
        <item x="8"/>
        <item x="5"/>
        <item x="6"/>
        <item t="default"/>
      </items>
    </pivotField>
  </pivotFields>
  <rowFields count="1">
    <field x="1"/>
  </rowFields>
  <rowItems count="10">
    <i>
      <x/>
    </i>
    <i>
      <x v="1"/>
    </i>
    <i>
      <x v="2"/>
    </i>
    <i>
      <x v="3"/>
    </i>
    <i>
      <x v="4"/>
    </i>
    <i>
      <x v="5"/>
    </i>
    <i>
      <x v="6"/>
    </i>
    <i>
      <x v="7"/>
    </i>
    <i>
      <x v="8"/>
    </i>
    <i>
      <x v="9"/>
    </i>
  </rowItems>
  <colItems count="1">
    <i/>
  </colItems>
  <dataFields count="1">
    <dataField name="Total Quantity" fld="3" baseField="1" baseItem="0"/>
  </dataFields>
  <chartFormats count="1">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FFD3EE-8B19-471F-BA59-09C2DD30FEE8}" name="PivotTable3"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Categories">
  <location ref="J3:K9" firstHeaderRow="1" firstDataRow="1" firstDataCol="1"/>
  <pivotFields count="11">
    <pivotField showAll="0"/>
    <pivotField dataField="1" showAll="0"/>
    <pivotField axis="axisRow" showAll="0">
      <items count="7">
        <item x="5"/>
        <item x="4"/>
        <item x="0"/>
        <item x="1"/>
        <item x="2"/>
        <item x="3"/>
        <item t="default"/>
      </items>
    </pivotField>
    <pivotField showAll="0"/>
    <pivotField showAll="0"/>
    <pivotField showAll="0"/>
    <pivotField showAll="0"/>
    <pivotField showAll="0"/>
    <pivotField showAll="0"/>
    <pivotField showAll="0">
      <items count="8">
        <item x="1"/>
        <item x="4"/>
        <item x="3"/>
        <item x="2"/>
        <item x="6"/>
        <item x="5"/>
        <item x="0"/>
        <item t="default"/>
      </items>
    </pivotField>
    <pivotField showAll="0">
      <items count="13">
        <item x="3"/>
        <item x="4"/>
        <item x="9"/>
        <item x="0"/>
        <item x="10"/>
        <item x="11"/>
        <item x="1"/>
        <item x="7"/>
        <item x="2"/>
        <item x="8"/>
        <item x="5"/>
        <item x="6"/>
        <item t="default"/>
      </items>
    </pivotField>
  </pivotFields>
  <rowFields count="1">
    <field x="2"/>
  </rowFields>
  <rowItems count="6">
    <i>
      <x/>
    </i>
    <i>
      <x v="1"/>
    </i>
    <i>
      <x v="2"/>
    </i>
    <i>
      <x v="3"/>
    </i>
    <i>
      <x v="4"/>
    </i>
    <i>
      <x v="5"/>
    </i>
  </rowItems>
  <colItems count="1">
    <i/>
  </colItems>
  <dataFields count="1">
    <dataField name="Total Items" fld="1" subtotal="count" baseField="2"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6D35AC-8B7A-4F66-BD13-FA927648F2CB}" name="Supplier"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4" rowHeaderCaption="Suppliers">
  <location ref="G3:H8" firstHeaderRow="1" firstDataRow="1" firstDataCol="1"/>
  <pivotFields count="11">
    <pivotField showAll="0"/>
    <pivotField showAll="0"/>
    <pivotField showAll="0"/>
    <pivotField showAll="0"/>
    <pivotField showAll="0"/>
    <pivotField dataField="1" showAll="0"/>
    <pivotField showAll="0"/>
    <pivotField axis="axisRow" showAll="0">
      <items count="6">
        <item x="1"/>
        <item x="2"/>
        <item x="3"/>
        <item x="4"/>
        <item x="0"/>
        <item t="default"/>
      </items>
    </pivotField>
    <pivotField showAll="0"/>
    <pivotField showAll="0">
      <items count="8">
        <item x="1"/>
        <item x="4"/>
        <item x="3"/>
        <item x="2"/>
        <item x="6"/>
        <item x="5"/>
        <item x="0"/>
        <item t="default"/>
      </items>
    </pivotField>
    <pivotField showAll="0">
      <items count="13">
        <item x="3"/>
        <item x="4"/>
        <item x="9"/>
        <item x="0"/>
        <item x="10"/>
        <item x="11"/>
        <item x="1"/>
        <item x="7"/>
        <item x="2"/>
        <item x="8"/>
        <item x="5"/>
        <item x="6"/>
        <item t="default"/>
      </items>
    </pivotField>
  </pivotFields>
  <rowFields count="1">
    <field x="7"/>
  </rowFields>
  <rowItems count="5">
    <i>
      <x/>
    </i>
    <i>
      <x v="1"/>
    </i>
    <i>
      <x v="2"/>
    </i>
    <i>
      <x v="3"/>
    </i>
    <i>
      <x v="4"/>
    </i>
  </rowItems>
  <colItems count="1">
    <i/>
  </colItems>
  <dataFields count="1">
    <dataField name=" Total_Cost" fld="5" baseField="7" baseItem="0"/>
  </dataFields>
  <chartFormats count="12">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2" format="9">
      <pivotArea type="data" outline="0" fieldPosition="0">
        <references count="2">
          <reference field="4294967294" count="1" selected="0">
            <x v="0"/>
          </reference>
          <reference field="7" count="1" selected="0">
            <x v="2"/>
          </reference>
        </references>
      </pivotArea>
    </chartFormat>
    <chartFormat chart="2" format="10">
      <pivotArea type="data" outline="0" fieldPosition="0">
        <references count="2">
          <reference field="4294967294" count="1" selected="0">
            <x v="0"/>
          </reference>
          <reference field="7" count="1" selected="0">
            <x v="3"/>
          </reference>
        </references>
      </pivotArea>
    </chartFormat>
    <chartFormat chart="2" format="11">
      <pivotArea type="data" outline="0" fieldPosition="0">
        <references count="2">
          <reference field="4294967294" count="1" selected="0">
            <x v="0"/>
          </reference>
          <reference field="7" count="1" selected="0">
            <x v="4"/>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3" format="16">
      <pivotArea type="data" outline="0" fieldPosition="0">
        <references count="2">
          <reference field="4294967294" count="1" selected="0">
            <x v="0"/>
          </reference>
          <reference field="7" count="1" selected="0">
            <x v="3"/>
          </reference>
        </references>
      </pivotArea>
    </chartFormat>
    <chartFormat chart="3" format="17">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F6BB3A64-7B43-499E-9994-A488B280F9AB}" sourceName="Day">
  <pivotTables>
    <pivotTable tabId="2" name="PivotTable6"/>
    <pivotTable tabId="2" name="Category"/>
    <pivotTable tabId="2" name="PivotTable1"/>
    <pivotTable tabId="2" name="PivotTable3"/>
    <pivotTable tabId="2" name="PivotTable4"/>
    <pivotTable tabId="2" name="PivotTable5"/>
    <pivotTable tabId="2" name="Supplier"/>
  </pivotTables>
  <data>
    <tabular pivotCacheId="1058225970">
      <items count="7">
        <i x="1" s="1"/>
        <i x="4" s="1"/>
        <i x="3" s="1"/>
        <i x="2" s="1"/>
        <i x="6" s="1"/>
        <i x="5"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96A9F23-C9C7-49B6-ABA6-26369E5DCE43}" sourceName="Month">
  <pivotTables>
    <pivotTable tabId="2" name="PivotTable6"/>
    <pivotTable tabId="2" name="Category"/>
    <pivotTable tabId="2" name="PivotTable1"/>
    <pivotTable tabId="2" name="PivotTable3"/>
    <pivotTable tabId="2" name="PivotTable4"/>
    <pivotTable tabId="2" name="PivotTable5"/>
    <pivotTable tabId="2" name="Supplier"/>
  </pivotTables>
  <data>
    <tabular pivotCacheId="1058225970">
      <items count="12">
        <i x="3" s="1"/>
        <i x="4" s="1"/>
        <i x="9" s="1"/>
        <i x="0" s="1"/>
        <i x="10" s="1"/>
        <i x="11" s="1"/>
        <i x="1" s="1"/>
        <i x="7" s="1"/>
        <i x="2" s="1"/>
        <i x="8"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y" xr10:uid="{5A6F6878-DFFC-493E-8ECC-9D63A9F6D375}" cache="Slicer_Day" caption="Day" showCaption="0" rowHeight="360000"/>
  <slicer name="Month" xr10:uid="{563DB53D-6FFC-4BB1-A02B-CC269A0557A1}" cache="Slicer_Month" caption="Month" showCaption="0"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BC02CA-4463-4391-AF21-4D8B603DD803}" name="Table2" displayName="Table2" ref="D3:E9" totalsRowShown="0" headerRowDxfId="20">
  <autoFilter ref="D3:E9" xr:uid="{9DBC02CA-4463-4391-AF21-4D8B603DD803}"/>
  <tableColumns count="2">
    <tableColumn id="1" xr3:uid="{3365D77F-D1F3-4189-A96E-8207FCF6D701}" name="Category" dataDxfId="19">
      <calculatedColumnFormula>A4</calculatedColumnFormula>
    </tableColumn>
    <tableColumn id="2" xr3:uid="{A0722962-7A47-4A54-AF51-EF370545BD01}" name="TotalCost" dataDxfId="18">
      <calculatedColumnFormula>B4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B43DAA0-1F5B-4D54-A987-747ADB42E714}" name="Data" displayName="Data" ref="A1:K501" headerRowDxfId="17" dataDxfId="15" totalsRowDxfId="13" headerRowBorderDxfId="16" tableBorderDxfId="14">
  <autoFilter ref="A1:K501" xr:uid="{9B43DAA0-1F5B-4D54-A987-747ADB42E714}"/>
  <tableColumns count="11">
    <tableColumn id="1" xr3:uid="{94BD6618-C6A5-43EC-889E-84A0867F1B80}" name="TransactionID" dataDxfId="12"/>
    <tableColumn id="2" xr3:uid="{7A44E10C-E730-452B-9AE1-31AB6ECB0BE6}" name="ItemName" dataDxfId="11"/>
    <tableColumn id="3" xr3:uid="{D1B5E2C3-C676-494E-8B7C-2E561BB9CA8B}" name="Category" dataDxfId="10"/>
    <tableColumn id="4" xr3:uid="{08710528-7EAE-4AF7-8F50-E8C10CCA845C}" name="Quantity" dataDxfId="9"/>
    <tableColumn id="5" xr3:uid="{0EA733CC-9F37-405D-876B-688C44343D48}" name="UnitPrice" dataDxfId="8"/>
    <tableColumn id="6" xr3:uid="{060A324F-7E21-4F54-87BE-7F0EC5A019B0}" name="TotalCost" dataDxfId="7"/>
    <tableColumn id="7" xr3:uid="{EB4A90A8-53C5-408A-A33D-89ED46C1B833}" name="PurchaseDate" dataDxfId="6"/>
    <tableColumn id="8" xr3:uid="{B99D4178-48C6-4973-9EB6-5BAC7A2ECAFB}" name="Supplier" dataDxfId="5"/>
    <tableColumn id="9" xr3:uid="{2BC9B257-68E8-4F58-84AC-5943224AD1E6}" name="Buyer" dataDxfId="4"/>
    <tableColumn id="10" xr3:uid="{35AF0088-8191-4B51-81E8-F9B2EAC2579D}" name="Day" dataDxfId="3" totalsRowDxfId="2">
      <calculatedColumnFormula>TEXT(Data[[#This Row],[PurchaseDate]],"ddd")</calculatedColumnFormula>
    </tableColumn>
    <tableColumn id="11" xr3:uid="{968E24A0-708B-4A60-ABE0-C0BC0C78BDF5}" name="Month" dataDxfId="1" totalsRowDxfId="0">
      <calculatedColumnFormula>TEXT(Data[[#This Row],[PurchaseDate]],"mmm")</calculatedColumnFormula>
    </tableColumn>
  </tableColumns>
  <tableStyleInfo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CF5CA-D54C-44AC-B702-36737B5F88B2}">
  <dimension ref="F2:Q39"/>
  <sheetViews>
    <sheetView showGridLines="0" tabSelected="1" zoomScale="80" zoomScaleNormal="80" workbookViewId="0">
      <selection activeCell="Z11" sqref="Z11"/>
    </sheetView>
  </sheetViews>
  <sheetFormatPr defaultRowHeight="15" x14ac:dyDescent="0.25"/>
  <cols>
    <col min="1" max="13" width="9.140625" style="17"/>
    <col min="14" max="14" width="8" style="17" customWidth="1"/>
    <col min="15" max="15" width="9.140625" style="17"/>
    <col min="16" max="16" width="11.5703125" style="17" customWidth="1"/>
    <col min="17" max="17" width="6.5703125" style="17" customWidth="1"/>
    <col min="18" max="19" width="9.140625" style="17"/>
    <col min="20" max="20" width="5.140625" style="17" customWidth="1"/>
    <col min="21" max="16384" width="9.140625" style="17"/>
  </cols>
  <sheetData>
    <row r="2" spans="17:17" ht="15" customHeight="1" x14ac:dyDescent="0.25">
      <c r="Q2" s="18"/>
    </row>
    <row r="3" spans="17:17" ht="15" customHeight="1" x14ac:dyDescent="0.25">
      <c r="Q3" s="18"/>
    </row>
    <row r="4" spans="17:17" ht="15" customHeight="1" x14ac:dyDescent="0.25">
      <c r="Q4" s="18"/>
    </row>
    <row r="5" spans="17:17" ht="15.75" customHeight="1" x14ac:dyDescent="0.25">
      <c r="Q5" s="18"/>
    </row>
    <row r="39" spans="6:6" x14ac:dyDescent="0.25">
      <c r="F39" s="17" t="s">
        <v>565</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022BB0-1A1A-42C9-A2A5-D48D82F9D34F}">
  <dimension ref="A3:Y13"/>
  <sheetViews>
    <sheetView topLeftCell="I2" zoomScale="85" zoomScaleNormal="85" workbookViewId="0">
      <selection activeCell="Z21" sqref="Z21"/>
    </sheetView>
  </sheetViews>
  <sheetFormatPr defaultRowHeight="15" x14ac:dyDescent="0.25"/>
  <cols>
    <col min="1" max="1" width="15.28515625" bestFit="1" customWidth="1"/>
    <col min="2" max="2" width="16" bestFit="1" customWidth="1"/>
    <col min="3" max="3" width="2.42578125" customWidth="1"/>
    <col min="4" max="5" width="16" customWidth="1"/>
    <col min="6" max="6" width="2.5703125" customWidth="1"/>
    <col min="7" max="7" width="18.140625" bestFit="1" customWidth="1"/>
    <col min="8" max="8" width="10.7109375" bestFit="1" customWidth="1"/>
    <col min="9" max="9" width="2.140625" customWidth="1"/>
    <col min="10" max="10" width="15.28515625" bestFit="1" customWidth="1"/>
    <col min="11" max="11" width="10.85546875" bestFit="1" customWidth="1"/>
    <col min="12" max="12" width="3.5703125" customWidth="1"/>
    <col min="13" max="13" width="24.140625" bestFit="1" customWidth="1"/>
    <col min="14" max="14" width="13.7109375" bestFit="1" customWidth="1"/>
    <col min="15" max="15" width="2.28515625" customWidth="1"/>
    <col min="16" max="16" width="15.28515625" bestFit="1" customWidth="1"/>
    <col min="17" max="17" width="11.28515625" bestFit="1" customWidth="1"/>
    <col min="18" max="18" width="2.140625" customWidth="1"/>
    <col min="19" max="19" width="24.140625" bestFit="1" customWidth="1"/>
    <col min="20" max="20" width="14.7109375" bestFit="1" customWidth="1"/>
    <col min="21" max="21" width="10.5703125" bestFit="1" customWidth="1"/>
    <col min="22" max="22" width="2.5703125" customWidth="1"/>
    <col min="23" max="23" width="15.42578125" bestFit="1" customWidth="1"/>
    <col min="24" max="24" width="16" bestFit="1" customWidth="1"/>
    <col min="25" max="25" width="18.7109375" bestFit="1" customWidth="1"/>
  </cols>
  <sheetData>
    <row r="3" spans="1:25" x14ac:dyDescent="0.25">
      <c r="A3" s="15" t="s">
        <v>2</v>
      </c>
      <c r="B3" t="s">
        <v>552</v>
      </c>
      <c r="D3" t="s">
        <v>2</v>
      </c>
      <c r="E3" t="s">
        <v>5</v>
      </c>
      <c r="G3" s="15" t="s">
        <v>554</v>
      </c>
      <c r="H3" t="s">
        <v>555</v>
      </c>
      <c r="J3" s="15" t="s">
        <v>556</v>
      </c>
      <c r="K3" t="s">
        <v>557</v>
      </c>
      <c r="M3" s="15" t="s">
        <v>558</v>
      </c>
      <c r="N3" t="s">
        <v>559</v>
      </c>
      <c r="P3" s="15" t="s">
        <v>560</v>
      </c>
      <c r="Q3" t="s">
        <v>561</v>
      </c>
      <c r="S3" s="15" t="s">
        <v>558</v>
      </c>
      <c r="T3" t="s">
        <v>562</v>
      </c>
      <c r="U3" t="s">
        <v>563</v>
      </c>
      <c r="W3" t="s">
        <v>553</v>
      </c>
      <c r="X3" t="s">
        <v>552</v>
      </c>
      <c r="Y3" t="s">
        <v>564</v>
      </c>
    </row>
    <row r="4" spans="1:25" x14ac:dyDescent="0.25">
      <c r="A4" s="16" t="s">
        <v>55</v>
      </c>
      <c r="B4">
        <v>20857.240000000002</v>
      </c>
      <c r="D4" t="str">
        <f t="shared" ref="D4:E9" si="0">A4</f>
        <v>Accessories</v>
      </c>
      <c r="E4">
        <f t="shared" si="0"/>
        <v>20857.240000000002</v>
      </c>
      <c r="G4" s="16" t="s">
        <v>17</v>
      </c>
      <c r="H4">
        <v>200073.64000000007</v>
      </c>
      <c r="J4" s="16" t="s">
        <v>55</v>
      </c>
      <c r="K4">
        <v>56</v>
      </c>
      <c r="M4" s="16" t="s">
        <v>19</v>
      </c>
      <c r="N4">
        <v>46</v>
      </c>
      <c r="P4" s="16" t="s">
        <v>45</v>
      </c>
      <c r="Q4">
        <v>96418.18</v>
      </c>
      <c r="S4" s="16" t="s">
        <v>19</v>
      </c>
      <c r="T4">
        <v>46</v>
      </c>
      <c r="U4">
        <v>336017.99999999988</v>
      </c>
      <c r="W4" s="20">
        <v>4820</v>
      </c>
      <c r="X4" s="19">
        <v>1240580.53</v>
      </c>
      <c r="Y4">
        <v>500</v>
      </c>
    </row>
    <row r="5" spans="1:25" x14ac:dyDescent="0.25">
      <c r="A5" s="16" t="s">
        <v>30</v>
      </c>
      <c r="B5">
        <v>697805.23000000021</v>
      </c>
      <c r="D5" t="str">
        <f t="shared" si="0"/>
        <v>Electronics</v>
      </c>
      <c r="E5">
        <f t="shared" si="0"/>
        <v>697805.23000000021</v>
      </c>
      <c r="G5" s="16" t="s">
        <v>24</v>
      </c>
      <c r="H5">
        <v>202810.72000000003</v>
      </c>
      <c r="J5" s="16" t="s">
        <v>30</v>
      </c>
      <c r="K5">
        <v>146</v>
      </c>
      <c r="M5" s="16" t="s">
        <v>10</v>
      </c>
      <c r="N5">
        <v>623</v>
      </c>
      <c r="P5" s="16" t="s">
        <v>34</v>
      </c>
      <c r="Q5">
        <v>69219.240000000005</v>
      </c>
      <c r="S5" s="16" t="s">
        <v>10</v>
      </c>
      <c r="T5">
        <v>623</v>
      </c>
      <c r="U5">
        <v>91857.82</v>
      </c>
    </row>
    <row r="6" spans="1:25" x14ac:dyDescent="0.25">
      <c r="A6" s="16" t="s">
        <v>11</v>
      </c>
      <c r="B6">
        <v>172818.61</v>
      </c>
      <c r="D6" t="str">
        <f t="shared" si="0"/>
        <v>Furniture</v>
      </c>
      <c r="E6">
        <f t="shared" si="0"/>
        <v>172818.61</v>
      </c>
      <c r="G6" s="16" t="s">
        <v>33</v>
      </c>
      <c r="H6">
        <v>223580.85</v>
      </c>
      <c r="J6" s="16" t="s">
        <v>11</v>
      </c>
      <c r="K6">
        <v>102</v>
      </c>
      <c r="M6" s="16" t="s">
        <v>60</v>
      </c>
      <c r="N6">
        <v>532</v>
      </c>
      <c r="P6" s="16" t="s">
        <v>96</v>
      </c>
      <c r="Q6">
        <v>66169.710000000006</v>
      </c>
      <c r="S6" s="16" t="s">
        <v>60</v>
      </c>
      <c r="T6">
        <v>532</v>
      </c>
      <c r="U6">
        <v>472284.81000000006</v>
      </c>
    </row>
    <row r="7" spans="1:25" x14ac:dyDescent="0.25">
      <c r="A7" s="16" t="s">
        <v>16</v>
      </c>
      <c r="B7">
        <v>6328.2700000000041</v>
      </c>
      <c r="D7" t="str">
        <f t="shared" si="0"/>
        <v>Office Supplies</v>
      </c>
      <c r="E7">
        <f t="shared" si="0"/>
        <v>6328.2700000000041</v>
      </c>
      <c r="G7" s="16" t="s">
        <v>43</v>
      </c>
      <c r="H7">
        <v>285353.58999999997</v>
      </c>
      <c r="J7" s="16" t="s">
        <v>16</v>
      </c>
      <c r="K7">
        <v>60</v>
      </c>
      <c r="M7" s="16" t="s">
        <v>54</v>
      </c>
      <c r="N7">
        <v>652</v>
      </c>
      <c r="P7" s="16" t="s">
        <v>79</v>
      </c>
      <c r="Q7">
        <v>75235.839999999982</v>
      </c>
      <c r="S7" s="16" t="s">
        <v>54</v>
      </c>
      <c r="T7">
        <v>652</v>
      </c>
      <c r="U7">
        <v>20857.240000000002</v>
      </c>
    </row>
    <row r="8" spans="1:25" x14ac:dyDescent="0.25">
      <c r="A8" s="16" t="s">
        <v>20</v>
      </c>
      <c r="B8">
        <v>336017.99999999988</v>
      </c>
      <c r="D8" t="str">
        <f t="shared" si="0"/>
        <v>Software</v>
      </c>
      <c r="E8">
        <f t="shared" si="0"/>
        <v>336017.99999999988</v>
      </c>
      <c r="G8" s="16" t="s">
        <v>12</v>
      </c>
      <c r="H8">
        <v>328761.7300000001</v>
      </c>
      <c r="J8" s="16" t="s">
        <v>20</v>
      </c>
      <c r="K8">
        <v>46</v>
      </c>
      <c r="M8" s="16" t="s">
        <v>52</v>
      </c>
      <c r="N8">
        <v>459</v>
      </c>
      <c r="P8" s="16" t="s">
        <v>13</v>
      </c>
      <c r="Q8">
        <v>76434.12000000001</v>
      </c>
      <c r="S8" s="16" t="s">
        <v>52</v>
      </c>
      <c r="T8">
        <v>459</v>
      </c>
      <c r="U8">
        <v>130072.59000000001</v>
      </c>
    </row>
    <row r="9" spans="1:25" x14ac:dyDescent="0.25">
      <c r="A9" s="16" t="s">
        <v>23</v>
      </c>
      <c r="B9">
        <v>6753.1799999999985</v>
      </c>
      <c r="D9" t="str">
        <f t="shared" si="0"/>
        <v>Stationery</v>
      </c>
      <c r="E9">
        <f t="shared" si="0"/>
        <v>6753.1799999999985</v>
      </c>
      <c r="J9" s="16" t="s">
        <v>23</v>
      </c>
      <c r="K9">
        <v>90</v>
      </c>
      <c r="M9" s="16" t="s">
        <v>22</v>
      </c>
      <c r="N9">
        <v>513</v>
      </c>
      <c r="P9" s="16" t="s">
        <v>64</v>
      </c>
      <c r="Q9">
        <v>69848.399999999994</v>
      </c>
      <c r="S9" s="16" t="s">
        <v>22</v>
      </c>
      <c r="T9">
        <v>513</v>
      </c>
      <c r="U9">
        <v>999.29000000000008</v>
      </c>
    </row>
    <row r="10" spans="1:25" x14ac:dyDescent="0.25">
      <c r="M10" s="16" t="s">
        <v>29</v>
      </c>
      <c r="N10">
        <v>440</v>
      </c>
      <c r="P10" s="16" t="s">
        <v>47</v>
      </c>
      <c r="Q10">
        <v>94185.73</v>
      </c>
      <c r="S10" s="16" t="s">
        <v>29</v>
      </c>
      <c r="T10">
        <v>440</v>
      </c>
      <c r="U10">
        <v>95447.829999999973</v>
      </c>
    </row>
    <row r="11" spans="1:25" x14ac:dyDescent="0.25">
      <c r="M11" s="16" t="s">
        <v>38</v>
      </c>
      <c r="N11">
        <v>390</v>
      </c>
      <c r="P11" s="16" t="s">
        <v>49</v>
      </c>
      <c r="Q11">
        <v>76908.12</v>
      </c>
      <c r="S11" s="16" t="s">
        <v>38</v>
      </c>
      <c r="T11">
        <v>390</v>
      </c>
      <c r="U11">
        <v>5753.8899999999994</v>
      </c>
    </row>
    <row r="12" spans="1:25" x14ac:dyDescent="0.25">
      <c r="M12" s="16" t="s">
        <v>15</v>
      </c>
      <c r="N12">
        <v>622</v>
      </c>
      <c r="P12" s="16" t="s">
        <v>133</v>
      </c>
      <c r="Q12">
        <v>68937.27</v>
      </c>
      <c r="S12" s="16" t="s">
        <v>15</v>
      </c>
      <c r="T12">
        <v>622</v>
      </c>
      <c r="U12">
        <v>6328.2700000000041</v>
      </c>
    </row>
    <row r="13" spans="1:25" x14ac:dyDescent="0.25">
      <c r="M13" s="16" t="s">
        <v>41</v>
      </c>
      <c r="N13">
        <v>543</v>
      </c>
      <c r="P13" s="16" t="s">
        <v>36</v>
      </c>
      <c r="Q13">
        <v>75865.039999999994</v>
      </c>
      <c r="S13" s="16" t="s">
        <v>41</v>
      </c>
      <c r="T13">
        <v>543</v>
      </c>
      <c r="U13">
        <v>80960.789999999994</v>
      </c>
    </row>
  </sheetData>
  <pageMargins left="0.7" right="0.7" top="0.75" bottom="0.75" header="0.3" footer="0.3"/>
  <pageSetup orientation="portrait" r:id="rId8"/>
  <tableParts count="1">
    <tablePart r:id="rId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549F9-65CE-4C9E-AB53-38224E21E1A5}">
  <dimension ref="A1:K501"/>
  <sheetViews>
    <sheetView workbookViewId="0">
      <selection activeCell="A3" sqref="A3:B7"/>
    </sheetView>
  </sheetViews>
  <sheetFormatPr defaultRowHeight="15" x14ac:dyDescent="0.25"/>
  <cols>
    <col min="1" max="1" width="17.7109375" bestFit="1" customWidth="1"/>
    <col min="2" max="2" width="23.140625" bestFit="1" customWidth="1"/>
    <col min="3" max="3" width="14.5703125" bestFit="1" customWidth="1"/>
    <col min="4" max="4" width="13.28515625" bestFit="1" customWidth="1"/>
    <col min="5" max="5" width="13.7109375" bestFit="1" customWidth="1"/>
    <col min="6" max="6" width="13.85546875" bestFit="1" customWidth="1"/>
    <col min="7" max="7" width="17.85546875" bestFit="1" customWidth="1"/>
    <col min="8" max="8" width="17.5703125" bestFit="1" customWidth="1"/>
    <col min="9" max="9" width="21.140625" customWidth="1"/>
  </cols>
  <sheetData>
    <row r="1" spans="1:11" x14ac:dyDescent="0.25">
      <c r="A1" s="9" t="s">
        <v>0</v>
      </c>
      <c r="B1" s="10" t="s">
        <v>1</v>
      </c>
      <c r="C1" s="10" t="s">
        <v>2</v>
      </c>
      <c r="D1" s="10" t="s">
        <v>3</v>
      </c>
      <c r="E1" s="10" t="s">
        <v>4</v>
      </c>
      <c r="F1" s="10" t="s">
        <v>5</v>
      </c>
      <c r="G1" s="10" t="s">
        <v>6</v>
      </c>
      <c r="H1" s="10" t="s">
        <v>7</v>
      </c>
      <c r="I1" s="11" t="s">
        <v>8</v>
      </c>
      <c r="J1" s="10" t="s">
        <v>550</v>
      </c>
      <c r="K1" s="10" t="s">
        <v>551</v>
      </c>
    </row>
    <row r="2" spans="1:11" x14ac:dyDescent="0.25">
      <c r="A2" s="1" t="s">
        <v>9</v>
      </c>
      <c r="B2" s="2" t="s">
        <v>10</v>
      </c>
      <c r="C2" s="2" t="s">
        <v>11</v>
      </c>
      <c r="D2" s="2">
        <v>10</v>
      </c>
      <c r="E2" s="2">
        <v>113.15</v>
      </c>
      <c r="F2" s="2">
        <v>1131.5</v>
      </c>
      <c r="G2" s="3">
        <v>45766</v>
      </c>
      <c r="H2" s="2" t="s">
        <v>12</v>
      </c>
      <c r="I2" s="4" t="s">
        <v>13</v>
      </c>
      <c r="J2" s="13" t="str">
        <f>TEXT(Data[[#This Row],[PurchaseDate]],"ddd")</f>
        <v>Sat</v>
      </c>
      <c r="K2" s="13" t="str">
        <f>TEXT(Data[[#This Row],[PurchaseDate]],"mmm")</f>
        <v>Apr</v>
      </c>
    </row>
    <row r="3" spans="1:11" x14ac:dyDescent="0.25">
      <c r="A3" s="1" t="s">
        <v>14</v>
      </c>
      <c r="B3" s="2" t="s">
        <v>15</v>
      </c>
      <c r="C3" s="2" t="s">
        <v>16</v>
      </c>
      <c r="D3" s="2">
        <v>16</v>
      </c>
      <c r="E3" s="2">
        <v>12.62</v>
      </c>
      <c r="F3" s="2">
        <v>201.92</v>
      </c>
      <c r="G3" s="3">
        <v>45844</v>
      </c>
      <c r="H3" s="2" t="s">
        <v>17</v>
      </c>
      <c r="I3" s="4" t="s">
        <v>13</v>
      </c>
      <c r="J3" s="12" t="str">
        <f>TEXT(Data[[#This Row],[PurchaseDate]],"ddd")</f>
        <v>Sun</v>
      </c>
      <c r="K3" s="12" t="str">
        <f>TEXT(Data[[#This Row],[PurchaseDate]],"mmm")</f>
        <v>Jul</v>
      </c>
    </row>
    <row r="4" spans="1:11" x14ac:dyDescent="0.25">
      <c r="A4" s="1" t="s">
        <v>18</v>
      </c>
      <c r="B4" s="2" t="s">
        <v>19</v>
      </c>
      <c r="C4" s="2" t="s">
        <v>20</v>
      </c>
      <c r="D4" s="2">
        <v>1</v>
      </c>
      <c r="E4" s="2">
        <v>5649.34</v>
      </c>
      <c r="F4" s="2">
        <v>5649.34</v>
      </c>
      <c r="G4" s="3">
        <v>45910</v>
      </c>
      <c r="H4" s="2" t="s">
        <v>12</v>
      </c>
      <c r="I4" s="4" t="s">
        <v>13</v>
      </c>
      <c r="J4" s="12" t="str">
        <f>TEXT(Data[[#This Row],[PurchaseDate]],"ddd")</f>
        <v>Wed</v>
      </c>
      <c r="K4" s="12" t="str">
        <f>TEXT(Data[[#This Row],[PurchaseDate]],"mmm")</f>
        <v>Sep</v>
      </c>
    </row>
    <row r="5" spans="1:11" x14ac:dyDescent="0.25">
      <c r="A5" s="1" t="s">
        <v>21</v>
      </c>
      <c r="B5" s="2" t="s">
        <v>22</v>
      </c>
      <c r="C5" s="2" t="s">
        <v>23</v>
      </c>
      <c r="D5" s="2">
        <v>13</v>
      </c>
      <c r="E5" s="2">
        <v>2.92</v>
      </c>
      <c r="F5" s="2">
        <v>37.96</v>
      </c>
      <c r="G5" s="3">
        <v>45678</v>
      </c>
      <c r="H5" s="2" t="s">
        <v>24</v>
      </c>
      <c r="I5" s="4" t="s">
        <v>25</v>
      </c>
      <c r="J5" s="12" t="str">
        <f>TEXT(Data[[#This Row],[PurchaseDate]],"ddd")</f>
        <v>Tue</v>
      </c>
      <c r="K5" s="12" t="str">
        <f>TEXT(Data[[#This Row],[PurchaseDate]],"mmm")</f>
        <v>Jan</v>
      </c>
    </row>
    <row r="6" spans="1:11" x14ac:dyDescent="0.25">
      <c r="A6" s="1" t="s">
        <v>26</v>
      </c>
      <c r="B6" s="2" t="s">
        <v>22</v>
      </c>
      <c r="C6" s="2" t="s">
        <v>23</v>
      </c>
      <c r="D6" s="2">
        <v>19</v>
      </c>
      <c r="E6" s="2">
        <v>1.39</v>
      </c>
      <c r="F6" s="2">
        <v>26.41</v>
      </c>
      <c r="G6" s="3">
        <v>45691</v>
      </c>
      <c r="H6" s="2" t="s">
        <v>12</v>
      </c>
      <c r="I6" s="4" t="s">
        <v>27</v>
      </c>
      <c r="J6" s="12" t="str">
        <f>TEXT(Data[[#This Row],[PurchaseDate]],"ddd")</f>
        <v>Mon</v>
      </c>
      <c r="K6" s="12" t="str">
        <f>TEXT(Data[[#This Row],[PurchaseDate]],"mmm")</f>
        <v>Feb</v>
      </c>
    </row>
    <row r="7" spans="1:11" x14ac:dyDescent="0.25">
      <c r="A7" s="1" t="s">
        <v>28</v>
      </c>
      <c r="B7" s="2" t="s">
        <v>29</v>
      </c>
      <c r="C7" s="2" t="s">
        <v>30</v>
      </c>
      <c r="D7" s="2">
        <v>19</v>
      </c>
      <c r="E7" s="2">
        <v>150.94</v>
      </c>
      <c r="F7" s="2">
        <v>2867.86</v>
      </c>
      <c r="G7" s="3">
        <v>45989</v>
      </c>
      <c r="H7" s="2" t="s">
        <v>24</v>
      </c>
      <c r="I7" s="4" t="s">
        <v>31</v>
      </c>
      <c r="J7" s="12" t="str">
        <f>TEXT(Data[[#This Row],[PurchaseDate]],"ddd")</f>
        <v>Fri</v>
      </c>
      <c r="K7" s="12" t="str">
        <f>TEXT(Data[[#This Row],[PurchaseDate]],"mmm")</f>
        <v>Nov</v>
      </c>
    </row>
    <row r="8" spans="1:11" x14ac:dyDescent="0.25">
      <c r="A8" s="1" t="s">
        <v>32</v>
      </c>
      <c r="B8" s="2" t="s">
        <v>22</v>
      </c>
      <c r="C8" s="2" t="s">
        <v>23</v>
      </c>
      <c r="D8" s="2">
        <v>8</v>
      </c>
      <c r="E8" s="2">
        <v>2.73</v>
      </c>
      <c r="F8" s="2">
        <v>21.84</v>
      </c>
      <c r="G8" s="3">
        <v>45707</v>
      </c>
      <c r="H8" s="2" t="s">
        <v>33</v>
      </c>
      <c r="I8" s="4" t="s">
        <v>34</v>
      </c>
      <c r="J8" s="12" t="str">
        <f>TEXT(Data[[#This Row],[PurchaseDate]],"ddd")</f>
        <v>Wed</v>
      </c>
      <c r="K8" s="12" t="str">
        <f>TEXT(Data[[#This Row],[PurchaseDate]],"mmm")</f>
        <v>Feb</v>
      </c>
    </row>
    <row r="9" spans="1:11" x14ac:dyDescent="0.25">
      <c r="A9" s="1" t="s">
        <v>35</v>
      </c>
      <c r="B9" s="2" t="s">
        <v>22</v>
      </c>
      <c r="C9" s="2" t="s">
        <v>23</v>
      </c>
      <c r="D9" s="2">
        <v>4</v>
      </c>
      <c r="E9" s="2">
        <v>2.42</v>
      </c>
      <c r="F9" s="2">
        <v>9.68</v>
      </c>
      <c r="G9" s="3">
        <v>45911</v>
      </c>
      <c r="H9" s="2" t="s">
        <v>24</v>
      </c>
      <c r="I9" s="4" t="s">
        <v>36</v>
      </c>
      <c r="J9" s="12" t="str">
        <f>TEXT(Data[[#This Row],[PurchaseDate]],"ddd")</f>
        <v>Thu</v>
      </c>
      <c r="K9" s="12" t="str">
        <f>TEXT(Data[[#This Row],[PurchaseDate]],"mmm")</f>
        <v>Sep</v>
      </c>
    </row>
    <row r="10" spans="1:11" x14ac:dyDescent="0.25">
      <c r="A10" s="1" t="s">
        <v>37</v>
      </c>
      <c r="B10" s="2" t="s">
        <v>38</v>
      </c>
      <c r="C10" s="2" t="s">
        <v>23</v>
      </c>
      <c r="D10" s="2">
        <v>13</v>
      </c>
      <c r="E10" s="2">
        <v>11.89</v>
      </c>
      <c r="F10" s="2">
        <v>154.57</v>
      </c>
      <c r="G10" s="3">
        <v>45759</v>
      </c>
      <c r="H10" s="2" t="s">
        <v>24</v>
      </c>
      <c r="I10" s="4" t="s">
        <v>39</v>
      </c>
      <c r="J10" s="12" t="str">
        <f>TEXT(Data[[#This Row],[PurchaseDate]],"ddd")</f>
        <v>Sat</v>
      </c>
      <c r="K10" s="12" t="str">
        <f>TEXT(Data[[#This Row],[PurchaseDate]],"mmm")</f>
        <v>Apr</v>
      </c>
    </row>
    <row r="11" spans="1:11" x14ac:dyDescent="0.25">
      <c r="A11" s="1" t="s">
        <v>40</v>
      </c>
      <c r="B11" s="2" t="s">
        <v>41</v>
      </c>
      <c r="C11" s="2" t="s">
        <v>11</v>
      </c>
      <c r="D11" s="2">
        <v>19</v>
      </c>
      <c r="E11" s="2">
        <v>100.82</v>
      </c>
      <c r="F11" s="2">
        <v>1915.58</v>
      </c>
      <c r="G11" s="3">
        <v>46005</v>
      </c>
      <c r="H11" s="2" t="s">
        <v>24</v>
      </c>
      <c r="I11" s="4" t="s">
        <v>36</v>
      </c>
      <c r="J11" s="12" t="str">
        <f>TEXT(Data[[#This Row],[PurchaseDate]],"ddd")</f>
        <v>Sun</v>
      </c>
      <c r="K11" s="12" t="str">
        <f>TEXT(Data[[#This Row],[PurchaseDate]],"mmm")</f>
        <v>Dec</v>
      </c>
    </row>
    <row r="12" spans="1:11" x14ac:dyDescent="0.25">
      <c r="A12" s="1" t="s">
        <v>42</v>
      </c>
      <c r="B12" s="2" t="s">
        <v>19</v>
      </c>
      <c r="C12" s="2" t="s">
        <v>20</v>
      </c>
      <c r="D12" s="2">
        <v>1</v>
      </c>
      <c r="E12" s="2">
        <v>8183.91</v>
      </c>
      <c r="F12" s="2">
        <v>8183.91</v>
      </c>
      <c r="G12" s="3">
        <v>45670</v>
      </c>
      <c r="H12" s="2" t="s">
        <v>43</v>
      </c>
      <c r="I12" s="4" t="s">
        <v>36</v>
      </c>
      <c r="J12" s="12" t="str">
        <f>TEXT(Data[[#This Row],[PurchaseDate]],"ddd")</f>
        <v>Mon</v>
      </c>
      <c r="K12" s="12" t="str">
        <f>TEXT(Data[[#This Row],[PurchaseDate]],"mmm")</f>
        <v>Jan</v>
      </c>
    </row>
    <row r="13" spans="1:11" x14ac:dyDescent="0.25">
      <c r="A13" s="1" t="s">
        <v>44</v>
      </c>
      <c r="B13" s="2" t="s">
        <v>22</v>
      </c>
      <c r="C13" s="2" t="s">
        <v>23</v>
      </c>
      <c r="D13" s="2">
        <v>14</v>
      </c>
      <c r="E13" s="2">
        <v>2.92</v>
      </c>
      <c r="F13" s="2">
        <v>40.880000000000003</v>
      </c>
      <c r="G13" s="3">
        <v>45870</v>
      </c>
      <c r="H13" s="2" t="s">
        <v>24</v>
      </c>
      <c r="I13" s="4" t="s">
        <v>45</v>
      </c>
      <c r="J13" s="12" t="str">
        <f>TEXT(Data[[#This Row],[PurchaseDate]],"ddd")</f>
        <v>Fri</v>
      </c>
      <c r="K13" s="12" t="str">
        <f>TEXT(Data[[#This Row],[PurchaseDate]],"mmm")</f>
        <v>Aug</v>
      </c>
    </row>
    <row r="14" spans="1:11" x14ac:dyDescent="0.25">
      <c r="A14" s="1" t="s">
        <v>46</v>
      </c>
      <c r="B14" s="2" t="s">
        <v>15</v>
      </c>
      <c r="C14" s="2" t="s">
        <v>16</v>
      </c>
      <c r="D14" s="2">
        <v>15</v>
      </c>
      <c r="E14" s="2">
        <v>8.4</v>
      </c>
      <c r="F14" s="2">
        <v>126</v>
      </c>
      <c r="G14" s="3">
        <v>45674</v>
      </c>
      <c r="H14" s="2" t="s">
        <v>24</v>
      </c>
      <c r="I14" s="4" t="s">
        <v>47</v>
      </c>
      <c r="J14" s="12" t="str">
        <f>TEXT(Data[[#This Row],[PurchaseDate]],"ddd")</f>
        <v>Fri</v>
      </c>
      <c r="K14" s="12" t="str">
        <f>TEXT(Data[[#This Row],[PurchaseDate]],"mmm")</f>
        <v>Jan</v>
      </c>
    </row>
    <row r="15" spans="1:11" x14ac:dyDescent="0.25">
      <c r="A15" s="1" t="s">
        <v>48</v>
      </c>
      <c r="B15" s="2" t="s">
        <v>41</v>
      </c>
      <c r="C15" s="2" t="s">
        <v>11</v>
      </c>
      <c r="D15" s="2">
        <v>20</v>
      </c>
      <c r="E15" s="2">
        <v>111.86</v>
      </c>
      <c r="F15" s="2">
        <v>2237.1999999999998</v>
      </c>
      <c r="G15" s="3">
        <v>45759</v>
      </c>
      <c r="H15" s="2" t="s">
        <v>24</v>
      </c>
      <c r="I15" s="4" t="s">
        <v>49</v>
      </c>
      <c r="J15" s="12" t="str">
        <f>TEXT(Data[[#This Row],[PurchaseDate]],"ddd")</f>
        <v>Sat</v>
      </c>
      <c r="K15" s="12" t="str">
        <f>TEXT(Data[[#This Row],[PurchaseDate]],"mmm")</f>
        <v>Apr</v>
      </c>
    </row>
    <row r="16" spans="1:11" x14ac:dyDescent="0.25">
      <c r="A16" s="1" t="s">
        <v>50</v>
      </c>
      <c r="B16" s="2" t="s">
        <v>22</v>
      </c>
      <c r="C16" s="2" t="s">
        <v>23</v>
      </c>
      <c r="D16" s="2">
        <v>17</v>
      </c>
      <c r="E16" s="2">
        <v>1.41</v>
      </c>
      <c r="F16" s="2">
        <v>23.97</v>
      </c>
      <c r="G16" s="3">
        <v>46021</v>
      </c>
      <c r="H16" s="2" t="s">
        <v>43</v>
      </c>
      <c r="I16" s="4" t="s">
        <v>31</v>
      </c>
      <c r="J16" s="12" t="str">
        <f>TEXT(Data[[#This Row],[PurchaseDate]],"ddd")</f>
        <v>Tue</v>
      </c>
      <c r="K16" s="12" t="str">
        <f>TEXT(Data[[#This Row],[PurchaseDate]],"mmm")</f>
        <v>Dec</v>
      </c>
    </row>
    <row r="17" spans="1:11" x14ac:dyDescent="0.25">
      <c r="A17" s="1" t="s">
        <v>51</v>
      </c>
      <c r="B17" s="2" t="s">
        <v>52</v>
      </c>
      <c r="C17" s="2" t="s">
        <v>30</v>
      </c>
      <c r="D17" s="2">
        <v>6</v>
      </c>
      <c r="E17" s="2">
        <v>263.79000000000002</v>
      </c>
      <c r="F17" s="2">
        <v>1582.74</v>
      </c>
      <c r="G17" s="3">
        <v>45967</v>
      </c>
      <c r="H17" s="2" t="s">
        <v>43</v>
      </c>
      <c r="I17" s="4" t="s">
        <v>45</v>
      </c>
      <c r="J17" s="12" t="str">
        <f>TEXT(Data[[#This Row],[PurchaseDate]],"ddd")</f>
        <v>Thu</v>
      </c>
      <c r="K17" s="12" t="str">
        <f>TEXT(Data[[#This Row],[PurchaseDate]],"mmm")</f>
        <v>Nov</v>
      </c>
    </row>
    <row r="18" spans="1:11" x14ac:dyDescent="0.25">
      <c r="A18" s="1" t="s">
        <v>53</v>
      </c>
      <c r="B18" s="2" t="s">
        <v>54</v>
      </c>
      <c r="C18" s="2" t="s">
        <v>55</v>
      </c>
      <c r="D18" s="2">
        <v>2</v>
      </c>
      <c r="E18" s="2">
        <v>32</v>
      </c>
      <c r="F18" s="2">
        <v>64</v>
      </c>
      <c r="G18" s="3">
        <v>45879</v>
      </c>
      <c r="H18" s="2" t="s">
        <v>24</v>
      </c>
      <c r="I18" s="4" t="s">
        <v>56</v>
      </c>
      <c r="J18" s="12" t="str">
        <f>TEXT(Data[[#This Row],[PurchaseDate]],"ddd")</f>
        <v>Sun</v>
      </c>
      <c r="K18" s="12" t="str">
        <f>TEXT(Data[[#This Row],[PurchaseDate]],"mmm")</f>
        <v>Aug</v>
      </c>
    </row>
    <row r="19" spans="1:11" x14ac:dyDescent="0.25">
      <c r="A19" s="1" t="s">
        <v>57</v>
      </c>
      <c r="B19" s="2" t="s">
        <v>54</v>
      </c>
      <c r="C19" s="2" t="s">
        <v>55</v>
      </c>
      <c r="D19" s="2">
        <v>16</v>
      </c>
      <c r="E19" s="2">
        <v>42.02</v>
      </c>
      <c r="F19" s="2">
        <v>672.32</v>
      </c>
      <c r="G19" s="3">
        <v>45902</v>
      </c>
      <c r="H19" s="2" t="s">
        <v>24</v>
      </c>
      <c r="I19" s="4" t="s">
        <v>58</v>
      </c>
      <c r="J19" s="12" t="str">
        <f>TEXT(Data[[#This Row],[PurchaseDate]],"ddd")</f>
        <v>Tue</v>
      </c>
      <c r="K19" s="12" t="str">
        <f>TEXT(Data[[#This Row],[PurchaseDate]],"mmm")</f>
        <v>Sep</v>
      </c>
    </row>
    <row r="20" spans="1:11" x14ac:dyDescent="0.25">
      <c r="A20" s="1" t="s">
        <v>59</v>
      </c>
      <c r="B20" s="2" t="s">
        <v>60</v>
      </c>
      <c r="C20" s="2" t="s">
        <v>30</v>
      </c>
      <c r="D20" s="2">
        <v>19</v>
      </c>
      <c r="E20" s="2">
        <v>815.19</v>
      </c>
      <c r="F20" s="2">
        <v>15488.61</v>
      </c>
      <c r="G20" s="3">
        <v>45952</v>
      </c>
      <c r="H20" s="2" t="s">
        <v>12</v>
      </c>
      <c r="I20" s="4" t="s">
        <v>47</v>
      </c>
      <c r="J20" s="12" t="str">
        <f>TEXT(Data[[#This Row],[PurchaseDate]],"ddd")</f>
        <v>Wed</v>
      </c>
      <c r="K20" s="12" t="str">
        <f>TEXT(Data[[#This Row],[PurchaseDate]],"mmm")</f>
        <v>Oct</v>
      </c>
    </row>
    <row r="21" spans="1:11" x14ac:dyDescent="0.25">
      <c r="A21" s="1" t="s">
        <v>61</v>
      </c>
      <c r="B21" s="2" t="s">
        <v>52</v>
      </c>
      <c r="C21" s="2" t="s">
        <v>30</v>
      </c>
      <c r="D21" s="2">
        <v>9</v>
      </c>
      <c r="E21" s="2">
        <v>336.61</v>
      </c>
      <c r="F21" s="2">
        <v>3029.49</v>
      </c>
      <c r="G21" s="3">
        <v>45719</v>
      </c>
      <c r="H21" s="2" t="s">
        <v>43</v>
      </c>
      <c r="I21" s="4" t="s">
        <v>47</v>
      </c>
      <c r="J21" s="12" t="str">
        <f>TEXT(Data[[#This Row],[PurchaseDate]],"ddd")</f>
        <v>Mon</v>
      </c>
      <c r="K21" s="12" t="str">
        <f>TEXT(Data[[#This Row],[PurchaseDate]],"mmm")</f>
        <v>Mar</v>
      </c>
    </row>
    <row r="22" spans="1:11" x14ac:dyDescent="0.25">
      <c r="A22" s="1" t="s">
        <v>62</v>
      </c>
      <c r="B22" s="2" t="s">
        <v>15</v>
      </c>
      <c r="C22" s="2" t="s">
        <v>16</v>
      </c>
      <c r="D22" s="2">
        <v>3</v>
      </c>
      <c r="E22" s="2">
        <v>13.02</v>
      </c>
      <c r="F22" s="2">
        <v>39.06</v>
      </c>
      <c r="G22" s="3">
        <v>45803</v>
      </c>
      <c r="H22" s="2" t="s">
        <v>17</v>
      </c>
      <c r="I22" s="4" t="s">
        <v>49</v>
      </c>
      <c r="J22" s="12" t="str">
        <f>TEXT(Data[[#This Row],[PurchaseDate]],"ddd")</f>
        <v>Mon</v>
      </c>
      <c r="K22" s="12" t="str">
        <f>TEXT(Data[[#This Row],[PurchaseDate]],"mmm")</f>
        <v>May</v>
      </c>
    </row>
    <row r="23" spans="1:11" x14ac:dyDescent="0.25">
      <c r="A23" s="1" t="s">
        <v>63</v>
      </c>
      <c r="B23" s="2" t="s">
        <v>29</v>
      </c>
      <c r="C23" s="2" t="s">
        <v>30</v>
      </c>
      <c r="D23" s="2">
        <v>13</v>
      </c>
      <c r="E23" s="2">
        <v>207.33</v>
      </c>
      <c r="F23" s="2">
        <v>2695.29</v>
      </c>
      <c r="G23" s="3">
        <v>45704</v>
      </c>
      <c r="H23" s="2" t="s">
        <v>24</v>
      </c>
      <c r="I23" s="4" t="s">
        <v>64</v>
      </c>
      <c r="J23" s="12" t="str">
        <f>TEXT(Data[[#This Row],[PurchaseDate]],"ddd")</f>
        <v>Sun</v>
      </c>
      <c r="K23" s="12" t="str">
        <f>TEXT(Data[[#This Row],[PurchaseDate]],"mmm")</f>
        <v>Feb</v>
      </c>
    </row>
    <row r="24" spans="1:11" x14ac:dyDescent="0.25">
      <c r="A24" s="1" t="s">
        <v>65</v>
      </c>
      <c r="B24" s="2" t="s">
        <v>41</v>
      </c>
      <c r="C24" s="2" t="s">
        <v>11</v>
      </c>
      <c r="D24" s="2">
        <v>16</v>
      </c>
      <c r="E24" s="2">
        <v>150.6</v>
      </c>
      <c r="F24" s="2">
        <v>2409.6</v>
      </c>
      <c r="G24" s="3">
        <v>45899</v>
      </c>
      <c r="H24" s="2" t="s">
        <v>24</v>
      </c>
      <c r="I24" s="4" t="s">
        <v>49</v>
      </c>
      <c r="J24" s="12" t="str">
        <f>TEXT(Data[[#This Row],[PurchaseDate]],"ddd")</f>
        <v>Sat</v>
      </c>
      <c r="K24" s="12" t="str">
        <f>TEXT(Data[[#This Row],[PurchaseDate]],"mmm")</f>
        <v>Aug</v>
      </c>
    </row>
    <row r="25" spans="1:11" x14ac:dyDescent="0.25">
      <c r="A25" s="1" t="s">
        <v>66</v>
      </c>
      <c r="B25" s="2" t="s">
        <v>41</v>
      </c>
      <c r="C25" s="2" t="s">
        <v>11</v>
      </c>
      <c r="D25" s="2">
        <v>16</v>
      </c>
      <c r="E25" s="2">
        <v>139.65</v>
      </c>
      <c r="F25" s="2">
        <v>2234.4</v>
      </c>
      <c r="G25" s="3">
        <v>45940</v>
      </c>
      <c r="H25" s="2" t="s">
        <v>43</v>
      </c>
      <c r="I25" s="4" t="s">
        <v>58</v>
      </c>
      <c r="J25" s="12" t="str">
        <f>TEXT(Data[[#This Row],[PurchaseDate]],"ddd")</f>
        <v>Fri</v>
      </c>
      <c r="K25" s="12" t="str">
        <f>TEXT(Data[[#This Row],[PurchaseDate]],"mmm")</f>
        <v>Oct</v>
      </c>
    </row>
    <row r="26" spans="1:11" x14ac:dyDescent="0.25">
      <c r="A26" s="1" t="s">
        <v>67</v>
      </c>
      <c r="B26" s="2" t="s">
        <v>22</v>
      </c>
      <c r="C26" s="2" t="s">
        <v>23</v>
      </c>
      <c r="D26" s="2">
        <v>18</v>
      </c>
      <c r="E26" s="2">
        <v>1.1499999999999999</v>
      </c>
      <c r="F26" s="2">
        <v>20.7</v>
      </c>
      <c r="G26" s="3">
        <v>45798</v>
      </c>
      <c r="H26" s="2" t="s">
        <v>43</v>
      </c>
      <c r="I26" s="4" t="s">
        <v>58</v>
      </c>
      <c r="J26" s="12" t="str">
        <f>TEXT(Data[[#This Row],[PurchaseDate]],"ddd")</f>
        <v>Wed</v>
      </c>
      <c r="K26" s="12" t="str">
        <f>TEXT(Data[[#This Row],[PurchaseDate]],"mmm")</f>
        <v>May</v>
      </c>
    </row>
    <row r="27" spans="1:11" x14ac:dyDescent="0.25">
      <c r="A27" s="1" t="s">
        <v>68</v>
      </c>
      <c r="B27" s="2" t="s">
        <v>10</v>
      </c>
      <c r="C27" s="2" t="s">
        <v>11</v>
      </c>
      <c r="D27" s="2">
        <v>15</v>
      </c>
      <c r="E27" s="2">
        <v>106.14</v>
      </c>
      <c r="F27" s="2">
        <v>1592.1</v>
      </c>
      <c r="G27" s="3">
        <v>45894</v>
      </c>
      <c r="H27" s="2" t="s">
        <v>33</v>
      </c>
      <c r="I27" s="4" t="s">
        <v>69</v>
      </c>
      <c r="J27" s="12" t="str">
        <f>TEXT(Data[[#This Row],[PurchaseDate]],"ddd")</f>
        <v>Mon</v>
      </c>
      <c r="K27" s="12" t="str">
        <f>TEXT(Data[[#This Row],[PurchaseDate]],"mmm")</f>
        <v>Aug</v>
      </c>
    </row>
    <row r="28" spans="1:11" x14ac:dyDescent="0.25">
      <c r="A28" s="1" t="s">
        <v>70</v>
      </c>
      <c r="B28" s="2" t="s">
        <v>19</v>
      </c>
      <c r="C28" s="2" t="s">
        <v>20</v>
      </c>
      <c r="D28" s="2">
        <v>1</v>
      </c>
      <c r="E28" s="2">
        <v>5099.8599999999997</v>
      </c>
      <c r="F28" s="2">
        <v>5099.8599999999997</v>
      </c>
      <c r="G28" s="3">
        <v>45667</v>
      </c>
      <c r="H28" s="2" t="s">
        <v>24</v>
      </c>
      <c r="I28" s="4" t="s">
        <v>31</v>
      </c>
      <c r="J28" s="12" t="str">
        <f>TEXT(Data[[#This Row],[PurchaseDate]],"ddd")</f>
        <v>Fri</v>
      </c>
      <c r="K28" s="12" t="str">
        <f>TEXT(Data[[#This Row],[PurchaseDate]],"mmm")</f>
        <v>Jan</v>
      </c>
    </row>
    <row r="29" spans="1:11" x14ac:dyDescent="0.25">
      <c r="A29" s="1" t="s">
        <v>71</v>
      </c>
      <c r="B29" s="2" t="s">
        <v>10</v>
      </c>
      <c r="C29" s="2" t="s">
        <v>11</v>
      </c>
      <c r="D29" s="2">
        <v>6</v>
      </c>
      <c r="E29" s="2">
        <v>187.26</v>
      </c>
      <c r="F29" s="2">
        <v>1123.56</v>
      </c>
      <c r="G29" s="3">
        <v>45879</v>
      </c>
      <c r="H29" s="2" t="s">
        <v>12</v>
      </c>
      <c r="I29" s="4" t="s">
        <v>49</v>
      </c>
      <c r="J29" s="12" t="str">
        <f>TEXT(Data[[#This Row],[PurchaseDate]],"ddd")</f>
        <v>Sun</v>
      </c>
      <c r="K29" s="12" t="str">
        <f>TEXT(Data[[#This Row],[PurchaseDate]],"mmm")</f>
        <v>Aug</v>
      </c>
    </row>
    <row r="30" spans="1:11" x14ac:dyDescent="0.25">
      <c r="A30" s="1" t="s">
        <v>72</v>
      </c>
      <c r="B30" s="2" t="s">
        <v>54</v>
      </c>
      <c r="C30" s="2" t="s">
        <v>55</v>
      </c>
      <c r="D30" s="2">
        <v>5</v>
      </c>
      <c r="E30" s="2">
        <v>30.33</v>
      </c>
      <c r="F30" s="2">
        <v>151.65</v>
      </c>
      <c r="G30" s="3">
        <v>45971</v>
      </c>
      <c r="H30" s="2" t="s">
        <v>33</v>
      </c>
      <c r="I30" s="4" t="s">
        <v>31</v>
      </c>
      <c r="J30" s="12" t="str">
        <f>TEXT(Data[[#This Row],[PurchaseDate]],"ddd")</f>
        <v>Mon</v>
      </c>
      <c r="K30" s="12" t="str">
        <f>TEXT(Data[[#This Row],[PurchaseDate]],"mmm")</f>
        <v>Nov</v>
      </c>
    </row>
    <row r="31" spans="1:11" x14ac:dyDescent="0.25">
      <c r="A31" s="1" t="s">
        <v>73</v>
      </c>
      <c r="B31" s="2" t="s">
        <v>29</v>
      </c>
      <c r="C31" s="2" t="s">
        <v>30</v>
      </c>
      <c r="D31" s="2">
        <v>4</v>
      </c>
      <c r="E31" s="2">
        <v>232.03</v>
      </c>
      <c r="F31" s="2">
        <v>928.12</v>
      </c>
      <c r="G31" s="3">
        <v>45823</v>
      </c>
      <c r="H31" s="2" t="s">
        <v>33</v>
      </c>
      <c r="I31" s="4" t="s">
        <v>36</v>
      </c>
      <c r="J31" s="12" t="str">
        <f>TEXT(Data[[#This Row],[PurchaseDate]],"ddd")</f>
        <v>Sun</v>
      </c>
      <c r="K31" s="12" t="str">
        <f>TEXT(Data[[#This Row],[PurchaseDate]],"mmm")</f>
        <v>Jun</v>
      </c>
    </row>
    <row r="32" spans="1:11" x14ac:dyDescent="0.25">
      <c r="A32" s="1" t="s">
        <v>74</v>
      </c>
      <c r="B32" s="2" t="s">
        <v>60</v>
      </c>
      <c r="C32" s="2" t="s">
        <v>30</v>
      </c>
      <c r="D32" s="2">
        <v>16</v>
      </c>
      <c r="E32" s="2">
        <v>980.67</v>
      </c>
      <c r="F32" s="2">
        <v>15690.72</v>
      </c>
      <c r="G32" s="3">
        <v>45790</v>
      </c>
      <c r="H32" s="2" t="s">
        <v>43</v>
      </c>
      <c r="I32" s="4" t="s">
        <v>25</v>
      </c>
      <c r="J32" s="12" t="str">
        <f>TEXT(Data[[#This Row],[PurchaseDate]],"ddd")</f>
        <v>Tue</v>
      </c>
      <c r="K32" s="12" t="str">
        <f>TEXT(Data[[#This Row],[PurchaseDate]],"mmm")</f>
        <v>May</v>
      </c>
    </row>
    <row r="33" spans="1:11" x14ac:dyDescent="0.25">
      <c r="A33" s="1" t="s">
        <v>75</v>
      </c>
      <c r="B33" s="2" t="s">
        <v>19</v>
      </c>
      <c r="C33" s="2" t="s">
        <v>20</v>
      </c>
      <c r="D33" s="2">
        <v>1</v>
      </c>
      <c r="E33" s="2">
        <v>5760.09</v>
      </c>
      <c r="F33" s="2">
        <v>5760.09</v>
      </c>
      <c r="G33" s="3">
        <v>45665</v>
      </c>
      <c r="H33" s="2" t="s">
        <v>12</v>
      </c>
      <c r="I33" s="4" t="s">
        <v>36</v>
      </c>
      <c r="J33" s="12" t="str">
        <f>TEXT(Data[[#This Row],[PurchaseDate]],"ddd")</f>
        <v>Wed</v>
      </c>
      <c r="K33" s="12" t="str">
        <f>TEXT(Data[[#This Row],[PurchaseDate]],"mmm")</f>
        <v>Jan</v>
      </c>
    </row>
    <row r="34" spans="1:11" x14ac:dyDescent="0.25">
      <c r="A34" s="1" t="s">
        <v>76</v>
      </c>
      <c r="B34" s="2" t="s">
        <v>52</v>
      </c>
      <c r="C34" s="2" t="s">
        <v>30</v>
      </c>
      <c r="D34" s="2">
        <v>18</v>
      </c>
      <c r="E34" s="2">
        <v>296.04000000000002</v>
      </c>
      <c r="F34" s="2">
        <v>5328.72</v>
      </c>
      <c r="G34" s="3">
        <v>45671</v>
      </c>
      <c r="H34" s="2" t="s">
        <v>12</v>
      </c>
      <c r="I34" s="4" t="s">
        <v>39</v>
      </c>
      <c r="J34" s="12" t="str">
        <f>TEXT(Data[[#This Row],[PurchaseDate]],"ddd")</f>
        <v>Tue</v>
      </c>
      <c r="K34" s="12" t="str">
        <f>TEXT(Data[[#This Row],[PurchaseDate]],"mmm")</f>
        <v>Jan</v>
      </c>
    </row>
    <row r="35" spans="1:11" x14ac:dyDescent="0.25">
      <c r="A35" s="1" t="s">
        <v>77</v>
      </c>
      <c r="B35" s="2" t="s">
        <v>10</v>
      </c>
      <c r="C35" s="2" t="s">
        <v>11</v>
      </c>
      <c r="D35" s="2">
        <v>3</v>
      </c>
      <c r="E35" s="2">
        <v>106.75</v>
      </c>
      <c r="F35" s="2">
        <v>320.25</v>
      </c>
      <c r="G35" s="3">
        <v>45767</v>
      </c>
      <c r="H35" s="2" t="s">
        <v>17</v>
      </c>
      <c r="I35" s="4" t="s">
        <v>49</v>
      </c>
      <c r="J35" s="12" t="str">
        <f>TEXT(Data[[#This Row],[PurchaseDate]],"ddd")</f>
        <v>Sun</v>
      </c>
      <c r="K35" s="12" t="str">
        <f>TEXT(Data[[#This Row],[PurchaseDate]],"mmm")</f>
        <v>Apr</v>
      </c>
    </row>
    <row r="36" spans="1:11" x14ac:dyDescent="0.25">
      <c r="A36" s="1" t="s">
        <v>78</v>
      </c>
      <c r="B36" s="2" t="s">
        <v>19</v>
      </c>
      <c r="C36" s="2" t="s">
        <v>20</v>
      </c>
      <c r="D36" s="2">
        <v>1</v>
      </c>
      <c r="E36" s="2">
        <v>5563.23</v>
      </c>
      <c r="F36" s="2">
        <v>5563.23</v>
      </c>
      <c r="G36" s="3">
        <v>45956</v>
      </c>
      <c r="H36" s="2" t="s">
        <v>12</v>
      </c>
      <c r="I36" s="4" t="s">
        <v>79</v>
      </c>
      <c r="J36" s="12" t="str">
        <f>TEXT(Data[[#This Row],[PurchaseDate]],"ddd")</f>
        <v>Sun</v>
      </c>
      <c r="K36" s="12" t="str">
        <f>TEXT(Data[[#This Row],[PurchaseDate]],"mmm")</f>
        <v>Oct</v>
      </c>
    </row>
    <row r="37" spans="1:11" x14ac:dyDescent="0.25">
      <c r="A37" s="1" t="s">
        <v>80</v>
      </c>
      <c r="B37" s="2" t="s">
        <v>22</v>
      </c>
      <c r="C37" s="2" t="s">
        <v>23</v>
      </c>
      <c r="D37" s="2">
        <v>13</v>
      </c>
      <c r="E37" s="2">
        <v>2.62</v>
      </c>
      <c r="F37" s="2">
        <v>34.06</v>
      </c>
      <c r="G37" s="3">
        <v>45949</v>
      </c>
      <c r="H37" s="2" t="s">
        <v>33</v>
      </c>
      <c r="I37" s="4" t="s">
        <v>31</v>
      </c>
      <c r="J37" s="12" t="str">
        <f>TEXT(Data[[#This Row],[PurchaseDate]],"ddd")</f>
        <v>Sun</v>
      </c>
      <c r="K37" s="12" t="str">
        <f>TEXT(Data[[#This Row],[PurchaseDate]],"mmm")</f>
        <v>Oct</v>
      </c>
    </row>
    <row r="38" spans="1:11" x14ac:dyDescent="0.25">
      <c r="A38" s="1" t="s">
        <v>81</v>
      </c>
      <c r="B38" s="2" t="s">
        <v>38</v>
      </c>
      <c r="C38" s="2" t="s">
        <v>23</v>
      </c>
      <c r="D38" s="2">
        <v>8</v>
      </c>
      <c r="E38" s="2">
        <v>12.63</v>
      </c>
      <c r="F38" s="2">
        <v>101.04</v>
      </c>
      <c r="G38" s="3">
        <v>45911</v>
      </c>
      <c r="H38" s="2" t="s">
        <v>33</v>
      </c>
      <c r="I38" s="4" t="s">
        <v>69</v>
      </c>
      <c r="J38" s="12" t="str">
        <f>TEXT(Data[[#This Row],[PurchaseDate]],"ddd")</f>
        <v>Thu</v>
      </c>
      <c r="K38" s="12" t="str">
        <f>TEXT(Data[[#This Row],[PurchaseDate]],"mmm")</f>
        <v>Sep</v>
      </c>
    </row>
    <row r="39" spans="1:11" x14ac:dyDescent="0.25">
      <c r="A39" s="1" t="s">
        <v>82</v>
      </c>
      <c r="B39" s="2" t="s">
        <v>41</v>
      </c>
      <c r="C39" s="2" t="s">
        <v>11</v>
      </c>
      <c r="D39" s="2">
        <v>2</v>
      </c>
      <c r="E39" s="2">
        <v>124.14</v>
      </c>
      <c r="F39" s="2">
        <v>248.28</v>
      </c>
      <c r="G39" s="3">
        <v>45785</v>
      </c>
      <c r="H39" s="2" t="s">
        <v>24</v>
      </c>
      <c r="I39" s="4" t="s">
        <v>83</v>
      </c>
      <c r="J39" s="12" t="str">
        <f>TEXT(Data[[#This Row],[PurchaseDate]],"ddd")</f>
        <v>Thu</v>
      </c>
      <c r="K39" s="12" t="str">
        <f>TEXT(Data[[#This Row],[PurchaseDate]],"mmm")</f>
        <v>May</v>
      </c>
    </row>
    <row r="40" spans="1:11" x14ac:dyDescent="0.25">
      <c r="A40" s="1" t="s">
        <v>84</v>
      </c>
      <c r="B40" s="2" t="s">
        <v>60</v>
      </c>
      <c r="C40" s="2" t="s">
        <v>30</v>
      </c>
      <c r="D40" s="2">
        <v>4</v>
      </c>
      <c r="E40" s="2">
        <v>989.93</v>
      </c>
      <c r="F40" s="2">
        <v>3959.72</v>
      </c>
      <c r="G40" s="3">
        <v>45936</v>
      </c>
      <c r="H40" s="2" t="s">
        <v>24</v>
      </c>
      <c r="I40" s="4" t="s">
        <v>85</v>
      </c>
      <c r="J40" s="12" t="str">
        <f>TEXT(Data[[#This Row],[PurchaseDate]],"ddd")</f>
        <v>Mon</v>
      </c>
      <c r="K40" s="12" t="str">
        <f>TEXT(Data[[#This Row],[PurchaseDate]],"mmm")</f>
        <v>Oct</v>
      </c>
    </row>
    <row r="41" spans="1:11" x14ac:dyDescent="0.25">
      <c r="A41" s="1" t="s">
        <v>86</v>
      </c>
      <c r="B41" s="2" t="s">
        <v>29</v>
      </c>
      <c r="C41" s="2" t="s">
        <v>30</v>
      </c>
      <c r="D41" s="2">
        <v>3</v>
      </c>
      <c r="E41" s="2">
        <v>170.05</v>
      </c>
      <c r="F41" s="2">
        <v>510.15</v>
      </c>
      <c r="G41" s="3">
        <v>45902</v>
      </c>
      <c r="H41" s="2" t="s">
        <v>43</v>
      </c>
      <c r="I41" s="4" t="s">
        <v>69</v>
      </c>
      <c r="J41" s="12" t="str">
        <f>TEXT(Data[[#This Row],[PurchaseDate]],"ddd")</f>
        <v>Tue</v>
      </c>
      <c r="K41" s="12" t="str">
        <f>TEXT(Data[[#This Row],[PurchaseDate]],"mmm")</f>
        <v>Sep</v>
      </c>
    </row>
    <row r="42" spans="1:11" x14ac:dyDescent="0.25">
      <c r="A42" s="1" t="s">
        <v>87</v>
      </c>
      <c r="B42" s="2" t="s">
        <v>38</v>
      </c>
      <c r="C42" s="2" t="s">
        <v>23</v>
      </c>
      <c r="D42" s="2">
        <v>8</v>
      </c>
      <c r="E42" s="2">
        <v>13.86</v>
      </c>
      <c r="F42" s="2">
        <v>110.88</v>
      </c>
      <c r="G42" s="3">
        <v>45821</v>
      </c>
      <c r="H42" s="2" t="s">
        <v>33</v>
      </c>
      <c r="I42" s="4" t="s">
        <v>49</v>
      </c>
      <c r="J42" s="12" t="str">
        <f>TEXT(Data[[#This Row],[PurchaseDate]],"ddd")</f>
        <v>Fri</v>
      </c>
      <c r="K42" s="12" t="str">
        <f>TEXT(Data[[#This Row],[PurchaseDate]],"mmm")</f>
        <v>Jun</v>
      </c>
    </row>
    <row r="43" spans="1:11" x14ac:dyDescent="0.25">
      <c r="A43" s="1" t="s">
        <v>88</v>
      </c>
      <c r="B43" s="2" t="s">
        <v>41</v>
      </c>
      <c r="C43" s="2" t="s">
        <v>11</v>
      </c>
      <c r="D43" s="2">
        <v>3</v>
      </c>
      <c r="E43" s="2">
        <v>108.27</v>
      </c>
      <c r="F43" s="2">
        <v>324.81</v>
      </c>
      <c r="G43" s="3">
        <v>45894</v>
      </c>
      <c r="H43" s="2" t="s">
        <v>24</v>
      </c>
      <c r="I43" s="4" t="s">
        <v>64</v>
      </c>
      <c r="J43" s="12" t="str">
        <f>TEXT(Data[[#This Row],[PurchaseDate]],"ddd")</f>
        <v>Mon</v>
      </c>
      <c r="K43" s="12" t="str">
        <f>TEXT(Data[[#This Row],[PurchaseDate]],"mmm")</f>
        <v>Aug</v>
      </c>
    </row>
    <row r="44" spans="1:11" x14ac:dyDescent="0.25">
      <c r="A44" s="1" t="s">
        <v>89</v>
      </c>
      <c r="B44" s="2" t="s">
        <v>60</v>
      </c>
      <c r="C44" s="2" t="s">
        <v>30</v>
      </c>
      <c r="D44" s="2">
        <v>9</v>
      </c>
      <c r="E44" s="2">
        <v>832.13</v>
      </c>
      <c r="F44" s="2">
        <v>7489.17</v>
      </c>
      <c r="G44" s="3">
        <v>45774</v>
      </c>
      <c r="H44" s="2" t="s">
        <v>12</v>
      </c>
      <c r="I44" s="4" t="s">
        <v>64</v>
      </c>
      <c r="J44" s="12" t="str">
        <f>TEXT(Data[[#This Row],[PurchaseDate]],"ddd")</f>
        <v>Sun</v>
      </c>
      <c r="K44" s="12" t="str">
        <f>TEXT(Data[[#This Row],[PurchaseDate]],"mmm")</f>
        <v>Apr</v>
      </c>
    </row>
    <row r="45" spans="1:11" x14ac:dyDescent="0.25">
      <c r="A45" s="1" t="s">
        <v>90</v>
      </c>
      <c r="B45" s="2" t="s">
        <v>15</v>
      </c>
      <c r="C45" s="2" t="s">
        <v>16</v>
      </c>
      <c r="D45" s="2">
        <v>16</v>
      </c>
      <c r="E45" s="2">
        <v>13.07</v>
      </c>
      <c r="F45" s="2">
        <v>209.12</v>
      </c>
      <c r="G45" s="3">
        <v>45660</v>
      </c>
      <c r="H45" s="2" t="s">
        <v>12</v>
      </c>
      <c r="I45" s="4" t="s">
        <v>47</v>
      </c>
      <c r="J45" s="12" t="str">
        <f>TEXT(Data[[#This Row],[PurchaseDate]],"ddd")</f>
        <v>Fri</v>
      </c>
      <c r="K45" s="12" t="str">
        <f>TEXT(Data[[#This Row],[PurchaseDate]],"mmm")</f>
        <v>Jan</v>
      </c>
    </row>
    <row r="46" spans="1:11" x14ac:dyDescent="0.25">
      <c r="A46" s="1" t="s">
        <v>91</v>
      </c>
      <c r="B46" s="2" t="s">
        <v>60</v>
      </c>
      <c r="C46" s="2" t="s">
        <v>30</v>
      </c>
      <c r="D46" s="2">
        <v>12</v>
      </c>
      <c r="E46" s="2">
        <v>835.25</v>
      </c>
      <c r="F46" s="2">
        <v>10023</v>
      </c>
      <c r="G46" s="3">
        <v>45874</v>
      </c>
      <c r="H46" s="2" t="s">
        <v>43</v>
      </c>
      <c r="I46" s="4" t="s">
        <v>79</v>
      </c>
      <c r="J46" s="12" t="str">
        <f>TEXT(Data[[#This Row],[PurchaseDate]],"ddd")</f>
        <v>Tue</v>
      </c>
      <c r="K46" s="12" t="str">
        <f>TEXT(Data[[#This Row],[PurchaseDate]],"mmm")</f>
        <v>Aug</v>
      </c>
    </row>
    <row r="47" spans="1:11" x14ac:dyDescent="0.25">
      <c r="A47" s="1" t="s">
        <v>92</v>
      </c>
      <c r="B47" s="2" t="s">
        <v>15</v>
      </c>
      <c r="C47" s="2" t="s">
        <v>16</v>
      </c>
      <c r="D47" s="2">
        <v>11</v>
      </c>
      <c r="E47" s="2">
        <v>14.43</v>
      </c>
      <c r="F47" s="2">
        <v>158.72999999999999</v>
      </c>
      <c r="G47" s="3">
        <v>45757</v>
      </c>
      <c r="H47" s="2" t="s">
        <v>17</v>
      </c>
      <c r="I47" s="4" t="s">
        <v>31</v>
      </c>
      <c r="J47" s="12" t="str">
        <f>TEXT(Data[[#This Row],[PurchaseDate]],"ddd")</f>
        <v>Thu</v>
      </c>
      <c r="K47" s="12" t="str">
        <f>TEXT(Data[[#This Row],[PurchaseDate]],"mmm")</f>
        <v>Apr</v>
      </c>
    </row>
    <row r="48" spans="1:11" x14ac:dyDescent="0.25">
      <c r="A48" s="1" t="s">
        <v>93</v>
      </c>
      <c r="B48" s="2" t="s">
        <v>52</v>
      </c>
      <c r="C48" s="2" t="s">
        <v>30</v>
      </c>
      <c r="D48" s="2">
        <v>20</v>
      </c>
      <c r="E48" s="2">
        <v>227.87</v>
      </c>
      <c r="F48" s="2">
        <v>4557.3999999999996</v>
      </c>
      <c r="G48" s="3">
        <v>45778</v>
      </c>
      <c r="H48" s="2" t="s">
        <v>24</v>
      </c>
      <c r="I48" s="4" t="s">
        <v>94</v>
      </c>
      <c r="J48" s="12" t="str">
        <f>TEXT(Data[[#This Row],[PurchaseDate]],"ddd")</f>
        <v>Thu</v>
      </c>
      <c r="K48" s="12" t="str">
        <f>TEXT(Data[[#This Row],[PurchaseDate]],"mmm")</f>
        <v>May</v>
      </c>
    </row>
    <row r="49" spans="1:11" x14ac:dyDescent="0.25">
      <c r="A49" s="1" t="s">
        <v>95</v>
      </c>
      <c r="B49" s="2" t="s">
        <v>22</v>
      </c>
      <c r="C49" s="2" t="s">
        <v>23</v>
      </c>
      <c r="D49" s="2">
        <v>15</v>
      </c>
      <c r="E49" s="2">
        <v>2.36</v>
      </c>
      <c r="F49" s="2">
        <v>35.4</v>
      </c>
      <c r="G49" s="3">
        <v>45673</v>
      </c>
      <c r="H49" s="2" t="s">
        <v>43</v>
      </c>
      <c r="I49" s="4" t="s">
        <v>96</v>
      </c>
      <c r="J49" s="12" t="str">
        <f>TEXT(Data[[#This Row],[PurchaseDate]],"ddd")</f>
        <v>Thu</v>
      </c>
      <c r="K49" s="12" t="str">
        <f>TEXT(Data[[#This Row],[PurchaseDate]],"mmm")</f>
        <v>Jan</v>
      </c>
    </row>
    <row r="50" spans="1:11" x14ac:dyDescent="0.25">
      <c r="A50" s="1" t="s">
        <v>97</v>
      </c>
      <c r="B50" s="2" t="s">
        <v>15</v>
      </c>
      <c r="C50" s="2" t="s">
        <v>16</v>
      </c>
      <c r="D50" s="2">
        <v>11</v>
      </c>
      <c r="E50" s="2">
        <v>6.42</v>
      </c>
      <c r="F50" s="2">
        <v>70.62</v>
      </c>
      <c r="G50" s="3">
        <v>45870</v>
      </c>
      <c r="H50" s="2" t="s">
        <v>33</v>
      </c>
      <c r="I50" s="4" t="s">
        <v>56</v>
      </c>
      <c r="J50" s="12" t="str">
        <f>TEXT(Data[[#This Row],[PurchaseDate]],"ddd")</f>
        <v>Fri</v>
      </c>
      <c r="K50" s="12" t="str">
        <f>TEXT(Data[[#This Row],[PurchaseDate]],"mmm")</f>
        <v>Aug</v>
      </c>
    </row>
    <row r="51" spans="1:11" x14ac:dyDescent="0.25">
      <c r="A51" s="1" t="s">
        <v>98</v>
      </c>
      <c r="B51" s="2" t="s">
        <v>10</v>
      </c>
      <c r="C51" s="2" t="s">
        <v>11</v>
      </c>
      <c r="D51" s="2">
        <v>16</v>
      </c>
      <c r="E51" s="2">
        <v>163.77000000000001</v>
      </c>
      <c r="F51" s="2">
        <v>2620.3200000000002</v>
      </c>
      <c r="G51" s="3">
        <v>45715</v>
      </c>
      <c r="H51" s="2" t="s">
        <v>43</v>
      </c>
      <c r="I51" s="4" t="s">
        <v>13</v>
      </c>
      <c r="J51" s="12" t="str">
        <f>TEXT(Data[[#This Row],[PurchaseDate]],"ddd")</f>
        <v>Thu</v>
      </c>
      <c r="K51" s="12" t="str">
        <f>TEXT(Data[[#This Row],[PurchaseDate]],"mmm")</f>
        <v>Feb</v>
      </c>
    </row>
    <row r="52" spans="1:11" x14ac:dyDescent="0.25">
      <c r="A52" s="1" t="s">
        <v>99</v>
      </c>
      <c r="B52" s="2" t="s">
        <v>41</v>
      </c>
      <c r="C52" s="2" t="s">
        <v>11</v>
      </c>
      <c r="D52" s="2">
        <v>10</v>
      </c>
      <c r="E52" s="2">
        <v>122.34</v>
      </c>
      <c r="F52" s="2">
        <v>1223.4000000000001</v>
      </c>
      <c r="G52" s="3">
        <v>45869</v>
      </c>
      <c r="H52" s="2" t="s">
        <v>17</v>
      </c>
      <c r="I52" s="4" t="s">
        <v>39</v>
      </c>
      <c r="J52" s="12" t="str">
        <f>TEXT(Data[[#This Row],[PurchaseDate]],"ddd")</f>
        <v>Thu</v>
      </c>
      <c r="K52" s="12" t="str">
        <f>TEXT(Data[[#This Row],[PurchaseDate]],"mmm")</f>
        <v>Jul</v>
      </c>
    </row>
    <row r="53" spans="1:11" x14ac:dyDescent="0.25">
      <c r="A53" s="1" t="s">
        <v>100</v>
      </c>
      <c r="B53" s="2" t="s">
        <v>60</v>
      </c>
      <c r="C53" s="2" t="s">
        <v>30</v>
      </c>
      <c r="D53" s="2">
        <v>1</v>
      </c>
      <c r="E53" s="2">
        <v>876.63</v>
      </c>
      <c r="F53" s="2">
        <v>876.63</v>
      </c>
      <c r="G53" s="3">
        <v>45786</v>
      </c>
      <c r="H53" s="2" t="s">
        <v>24</v>
      </c>
      <c r="I53" s="4" t="s">
        <v>49</v>
      </c>
      <c r="J53" s="12" t="str">
        <f>TEXT(Data[[#This Row],[PurchaseDate]],"ddd")</f>
        <v>Fri</v>
      </c>
      <c r="K53" s="12" t="str">
        <f>TEXT(Data[[#This Row],[PurchaseDate]],"mmm")</f>
        <v>May</v>
      </c>
    </row>
    <row r="54" spans="1:11" x14ac:dyDescent="0.25">
      <c r="A54" s="1" t="s">
        <v>101</v>
      </c>
      <c r="B54" s="2" t="s">
        <v>29</v>
      </c>
      <c r="C54" s="2" t="s">
        <v>30</v>
      </c>
      <c r="D54" s="2">
        <v>9</v>
      </c>
      <c r="E54" s="2">
        <v>240.89</v>
      </c>
      <c r="F54" s="2">
        <v>2168.0100000000002</v>
      </c>
      <c r="G54" s="3">
        <v>45844</v>
      </c>
      <c r="H54" s="2" t="s">
        <v>43</v>
      </c>
      <c r="I54" s="4" t="s">
        <v>79</v>
      </c>
      <c r="J54" s="12" t="str">
        <f>TEXT(Data[[#This Row],[PurchaseDate]],"ddd")</f>
        <v>Sun</v>
      </c>
      <c r="K54" s="12" t="str">
        <f>TEXT(Data[[#This Row],[PurchaseDate]],"mmm")</f>
        <v>Jul</v>
      </c>
    </row>
    <row r="55" spans="1:11" x14ac:dyDescent="0.25">
      <c r="A55" s="1" t="s">
        <v>102</v>
      </c>
      <c r="B55" s="2" t="s">
        <v>60</v>
      </c>
      <c r="C55" s="2" t="s">
        <v>30</v>
      </c>
      <c r="D55" s="2">
        <v>14</v>
      </c>
      <c r="E55" s="2">
        <v>812.03</v>
      </c>
      <c r="F55" s="2">
        <v>11368.42</v>
      </c>
      <c r="G55" s="3">
        <v>45658</v>
      </c>
      <c r="H55" s="2" t="s">
        <v>43</v>
      </c>
      <c r="I55" s="4" t="s">
        <v>79</v>
      </c>
      <c r="J55" s="12" t="str">
        <f>TEXT(Data[[#This Row],[PurchaseDate]],"ddd")</f>
        <v>Wed</v>
      </c>
      <c r="K55" s="12" t="str">
        <f>TEXT(Data[[#This Row],[PurchaseDate]],"mmm")</f>
        <v>Jan</v>
      </c>
    </row>
    <row r="56" spans="1:11" x14ac:dyDescent="0.25">
      <c r="A56" s="1" t="s">
        <v>103</v>
      </c>
      <c r="B56" s="2" t="s">
        <v>10</v>
      </c>
      <c r="C56" s="2" t="s">
        <v>11</v>
      </c>
      <c r="D56" s="2">
        <v>20</v>
      </c>
      <c r="E56" s="2">
        <v>183.44</v>
      </c>
      <c r="F56" s="2">
        <v>3668.8</v>
      </c>
      <c r="G56" s="3">
        <v>45999</v>
      </c>
      <c r="H56" s="2" t="s">
        <v>12</v>
      </c>
      <c r="I56" s="4" t="s">
        <v>83</v>
      </c>
      <c r="J56" s="12" t="str">
        <f>TEXT(Data[[#This Row],[PurchaseDate]],"ddd")</f>
        <v>Mon</v>
      </c>
      <c r="K56" s="12" t="str">
        <f>TEXT(Data[[#This Row],[PurchaseDate]],"mmm")</f>
        <v>Dec</v>
      </c>
    </row>
    <row r="57" spans="1:11" x14ac:dyDescent="0.25">
      <c r="A57" s="1" t="s">
        <v>104</v>
      </c>
      <c r="B57" s="2" t="s">
        <v>10</v>
      </c>
      <c r="C57" s="2" t="s">
        <v>11</v>
      </c>
      <c r="D57" s="2">
        <v>3</v>
      </c>
      <c r="E57" s="2">
        <v>116.49</v>
      </c>
      <c r="F57" s="2">
        <v>349.47</v>
      </c>
      <c r="G57" s="3">
        <v>45924</v>
      </c>
      <c r="H57" s="2" t="s">
        <v>43</v>
      </c>
      <c r="I57" s="4" t="s">
        <v>49</v>
      </c>
      <c r="J57" s="12" t="str">
        <f>TEXT(Data[[#This Row],[PurchaseDate]],"ddd")</f>
        <v>Wed</v>
      </c>
      <c r="K57" s="12" t="str">
        <f>TEXT(Data[[#This Row],[PurchaseDate]],"mmm")</f>
        <v>Sep</v>
      </c>
    </row>
    <row r="58" spans="1:11" x14ac:dyDescent="0.25">
      <c r="A58" s="1" t="s">
        <v>105</v>
      </c>
      <c r="B58" s="2" t="s">
        <v>54</v>
      </c>
      <c r="C58" s="2" t="s">
        <v>55</v>
      </c>
      <c r="D58" s="2">
        <v>5</v>
      </c>
      <c r="E58" s="2">
        <v>21.65</v>
      </c>
      <c r="F58" s="2">
        <v>108.25</v>
      </c>
      <c r="G58" s="3">
        <v>45692</v>
      </c>
      <c r="H58" s="2" t="s">
        <v>24</v>
      </c>
      <c r="I58" s="4" t="s">
        <v>49</v>
      </c>
      <c r="J58" s="12" t="str">
        <f>TEXT(Data[[#This Row],[PurchaseDate]],"ddd")</f>
        <v>Tue</v>
      </c>
      <c r="K58" s="12" t="str">
        <f>TEXT(Data[[#This Row],[PurchaseDate]],"mmm")</f>
        <v>Feb</v>
      </c>
    </row>
    <row r="59" spans="1:11" x14ac:dyDescent="0.25">
      <c r="A59" s="1" t="s">
        <v>106</v>
      </c>
      <c r="B59" s="2" t="s">
        <v>38</v>
      </c>
      <c r="C59" s="2" t="s">
        <v>23</v>
      </c>
      <c r="D59" s="2">
        <v>17</v>
      </c>
      <c r="E59" s="2">
        <v>11.86</v>
      </c>
      <c r="F59" s="2">
        <v>201.62</v>
      </c>
      <c r="G59" s="3">
        <v>45989</v>
      </c>
      <c r="H59" s="2" t="s">
        <v>24</v>
      </c>
      <c r="I59" s="4" t="s">
        <v>13</v>
      </c>
      <c r="J59" s="12" t="str">
        <f>TEXT(Data[[#This Row],[PurchaseDate]],"ddd")</f>
        <v>Fri</v>
      </c>
      <c r="K59" s="12" t="str">
        <f>TEXT(Data[[#This Row],[PurchaseDate]],"mmm")</f>
        <v>Nov</v>
      </c>
    </row>
    <row r="60" spans="1:11" x14ac:dyDescent="0.25">
      <c r="A60" s="1" t="s">
        <v>107</v>
      </c>
      <c r="B60" s="2" t="s">
        <v>10</v>
      </c>
      <c r="C60" s="2" t="s">
        <v>11</v>
      </c>
      <c r="D60" s="2">
        <v>20</v>
      </c>
      <c r="E60" s="2">
        <v>149.44999999999999</v>
      </c>
      <c r="F60" s="2">
        <v>2989</v>
      </c>
      <c r="G60" s="3">
        <v>45848</v>
      </c>
      <c r="H60" s="2" t="s">
        <v>17</v>
      </c>
      <c r="I60" s="4" t="s">
        <v>64</v>
      </c>
      <c r="J60" s="12" t="str">
        <f>TEXT(Data[[#This Row],[PurchaseDate]],"ddd")</f>
        <v>Thu</v>
      </c>
      <c r="K60" s="12" t="str">
        <f>TEXT(Data[[#This Row],[PurchaseDate]],"mmm")</f>
        <v>Jul</v>
      </c>
    </row>
    <row r="61" spans="1:11" x14ac:dyDescent="0.25">
      <c r="A61" s="1" t="s">
        <v>108</v>
      </c>
      <c r="B61" s="2" t="s">
        <v>52</v>
      </c>
      <c r="C61" s="2" t="s">
        <v>30</v>
      </c>
      <c r="D61" s="2">
        <v>11</v>
      </c>
      <c r="E61" s="2">
        <v>348.44</v>
      </c>
      <c r="F61" s="2">
        <v>3832.84</v>
      </c>
      <c r="G61" s="3">
        <v>45805</v>
      </c>
      <c r="H61" s="2" t="s">
        <v>24</v>
      </c>
      <c r="I61" s="4" t="s">
        <v>31</v>
      </c>
      <c r="J61" s="12" t="str">
        <f>TEXT(Data[[#This Row],[PurchaseDate]],"ddd")</f>
        <v>Wed</v>
      </c>
      <c r="K61" s="12" t="str">
        <f>TEXT(Data[[#This Row],[PurchaseDate]],"mmm")</f>
        <v>May</v>
      </c>
    </row>
    <row r="62" spans="1:11" x14ac:dyDescent="0.25">
      <c r="A62" s="1" t="s">
        <v>109</v>
      </c>
      <c r="B62" s="2" t="s">
        <v>60</v>
      </c>
      <c r="C62" s="2" t="s">
        <v>30</v>
      </c>
      <c r="D62" s="2">
        <v>20</v>
      </c>
      <c r="E62" s="2">
        <v>920.32</v>
      </c>
      <c r="F62" s="2">
        <v>18406.400000000001</v>
      </c>
      <c r="G62" s="3">
        <v>45978</v>
      </c>
      <c r="H62" s="2" t="s">
        <v>12</v>
      </c>
      <c r="I62" s="4" t="s">
        <v>49</v>
      </c>
      <c r="J62" s="12" t="str">
        <f>TEXT(Data[[#This Row],[PurchaseDate]],"ddd")</f>
        <v>Mon</v>
      </c>
      <c r="K62" s="12" t="str">
        <f>TEXT(Data[[#This Row],[PurchaseDate]],"mmm")</f>
        <v>Nov</v>
      </c>
    </row>
    <row r="63" spans="1:11" x14ac:dyDescent="0.25">
      <c r="A63" s="1" t="s">
        <v>110</v>
      </c>
      <c r="B63" s="2" t="s">
        <v>29</v>
      </c>
      <c r="C63" s="2" t="s">
        <v>30</v>
      </c>
      <c r="D63" s="2">
        <v>5</v>
      </c>
      <c r="E63" s="2">
        <v>292.98</v>
      </c>
      <c r="F63" s="2">
        <v>1464.9</v>
      </c>
      <c r="G63" s="3">
        <v>45889</v>
      </c>
      <c r="H63" s="2" t="s">
        <v>43</v>
      </c>
      <c r="I63" s="4" t="s">
        <v>58</v>
      </c>
      <c r="J63" s="12" t="str">
        <f>TEXT(Data[[#This Row],[PurchaseDate]],"ddd")</f>
        <v>Wed</v>
      </c>
      <c r="K63" s="12" t="str">
        <f>TEXT(Data[[#This Row],[PurchaseDate]],"mmm")</f>
        <v>Aug</v>
      </c>
    </row>
    <row r="64" spans="1:11" x14ac:dyDescent="0.25">
      <c r="A64" s="1" t="s">
        <v>111</v>
      </c>
      <c r="B64" s="2" t="s">
        <v>41</v>
      </c>
      <c r="C64" s="2" t="s">
        <v>11</v>
      </c>
      <c r="D64" s="2">
        <v>18</v>
      </c>
      <c r="E64" s="2">
        <v>167.63</v>
      </c>
      <c r="F64" s="2">
        <v>3017.34</v>
      </c>
      <c r="G64" s="3">
        <v>45779</v>
      </c>
      <c r="H64" s="2" t="s">
        <v>17</v>
      </c>
      <c r="I64" s="4" t="s">
        <v>69</v>
      </c>
      <c r="J64" s="12" t="str">
        <f>TEXT(Data[[#This Row],[PurchaseDate]],"ddd")</f>
        <v>Fri</v>
      </c>
      <c r="K64" s="12" t="str">
        <f>TEXT(Data[[#This Row],[PurchaseDate]],"mmm")</f>
        <v>May</v>
      </c>
    </row>
    <row r="65" spans="1:11" x14ac:dyDescent="0.25">
      <c r="A65" s="1" t="s">
        <v>112</v>
      </c>
      <c r="B65" s="2" t="s">
        <v>15</v>
      </c>
      <c r="C65" s="2" t="s">
        <v>16</v>
      </c>
      <c r="D65" s="2">
        <v>13</v>
      </c>
      <c r="E65" s="2">
        <v>14.39</v>
      </c>
      <c r="F65" s="2">
        <v>187.07</v>
      </c>
      <c r="G65" s="3">
        <v>45959</v>
      </c>
      <c r="H65" s="2" t="s">
        <v>33</v>
      </c>
      <c r="I65" s="4" t="s">
        <v>13</v>
      </c>
      <c r="J65" s="12" t="str">
        <f>TEXT(Data[[#This Row],[PurchaseDate]],"ddd")</f>
        <v>Wed</v>
      </c>
      <c r="K65" s="12" t="str">
        <f>TEXT(Data[[#This Row],[PurchaseDate]],"mmm")</f>
        <v>Oct</v>
      </c>
    </row>
    <row r="66" spans="1:11" x14ac:dyDescent="0.25">
      <c r="A66" s="1" t="s">
        <v>113</v>
      </c>
      <c r="B66" s="2" t="s">
        <v>15</v>
      </c>
      <c r="C66" s="2" t="s">
        <v>16</v>
      </c>
      <c r="D66" s="2">
        <v>3</v>
      </c>
      <c r="E66" s="2">
        <v>6.34</v>
      </c>
      <c r="F66" s="2">
        <v>19.02</v>
      </c>
      <c r="G66" s="3">
        <v>45779</v>
      </c>
      <c r="H66" s="2" t="s">
        <v>17</v>
      </c>
      <c r="I66" s="4" t="s">
        <v>13</v>
      </c>
      <c r="J66" s="12" t="str">
        <f>TEXT(Data[[#This Row],[PurchaseDate]],"ddd")</f>
        <v>Fri</v>
      </c>
      <c r="K66" s="12" t="str">
        <f>TEXT(Data[[#This Row],[PurchaseDate]],"mmm")</f>
        <v>May</v>
      </c>
    </row>
    <row r="67" spans="1:11" x14ac:dyDescent="0.25">
      <c r="A67" s="1" t="s">
        <v>114</v>
      </c>
      <c r="B67" s="2" t="s">
        <v>52</v>
      </c>
      <c r="C67" s="2" t="s">
        <v>30</v>
      </c>
      <c r="D67" s="2">
        <v>5</v>
      </c>
      <c r="E67" s="2">
        <v>227.26</v>
      </c>
      <c r="F67" s="2">
        <v>1136.3</v>
      </c>
      <c r="G67" s="3">
        <v>45838</v>
      </c>
      <c r="H67" s="2" t="s">
        <v>43</v>
      </c>
      <c r="I67" s="4" t="s">
        <v>49</v>
      </c>
      <c r="J67" s="12" t="str">
        <f>TEXT(Data[[#This Row],[PurchaseDate]],"ddd")</f>
        <v>Mon</v>
      </c>
      <c r="K67" s="12" t="str">
        <f>TEXT(Data[[#This Row],[PurchaseDate]],"mmm")</f>
        <v>Jun</v>
      </c>
    </row>
    <row r="68" spans="1:11" x14ac:dyDescent="0.25">
      <c r="A68" s="1" t="s">
        <v>115</v>
      </c>
      <c r="B68" s="2" t="s">
        <v>22</v>
      </c>
      <c r="C68" s="2" t="s">
        <v>23</v>
      </c>
      <c r="D68" s="2">
        <v>12</v>
      </c>
      <c r="E68" s="2">
        <v>2.2000000000000002</v>
      </c>
      <c r="F68" s="2">
        <v>26.4</v>
      </c>
      <c r="G68" s="3">
        <v>45823</v>
      </c>
      <c r="H68" s="2" t="s">
        <v>33</v>
      </c>
      <c r="I68" s="4" t="s">
        <v>34</v>
      </c>
      <c r="J68" s="12" t="str">
        <f>TEXT(Data[[#This Row],[PurchaseDate]],"ddd")</f>
        <v>Sun</v>
      </c>
      <c r="K68" s="12" t="str">
        <f>TEXT(Data[[#This Row],[PurchaseDate]],"mmm")</f>
        <v>Jun</v>
      </c>
    </row>
    <row r="69" spans="1:11" x14ac:dyDescent="0.25">
      <c r="A69" s="1" t="s">
        <v>116</v>
      </c>
      <c r="B69" s="2" t="s">
        <v>10</v>
      </c>
      <c r="C69" s="2" t="s">
        <v>11</v>
      </c>
      <c r="D69" s="2">
        <v>15</v>
      </c>
      <c r="E69" s="2">
        <v>163.44999999999999</v>
      </c>
      <c r="F69" s="2">
        <v>2451.75</v>
      </c>
      <c r="G69" s="3">
        <v>45755</v>
      </c>
      <c r="H69" s="2" t="s">
        <v>43</v>
      </c>
      <c r="I69" s="4" t="s">
        <v>34</v>
      </c>
      <c r="J69" s="12" t="str">
        <f>TEXT(Data[[#This Row],[PurchaseDate]],"ddd")</f>
        <v>Tue</v>
      </c>
      <c r="K69" s="12" t="str">
        <f>TEXT(Data[[#This Row],[PurchaseDate]],"mmm")</f>
        <v>Apr</v>
      </c>
    </row>
    <row r="70" spans="1:11" x14ac:dyDescent="0.25">
      <c r="A70" s="1" t="s">
        <v>117</v>
      </c>
      <c r="B70" s="2" t="s">
        <v>22</v>
      </c>
      <c r="C70" s="2" t="s">
        <v>23</v>
      </c>
      <c r="D70" s="2">
        <v>10</v>
      </c>
      <c r="E70" s="2">
        <v>1.38</v>
      </c>
      <c r="F70" s="2">
        <v>13.8</v>
      </c>
      <c r="G70" s="3">
        <v>45991</v>
      </c>
      <c r="H70" s="2" t="s">
        <v>17</v>
      </c>
      <c r="I70" s="4" t="s">
        <v>85</v>
      </c>
      <c r="J70" s="12" t="str">
        <f>TEXT(Data[[#This Row],[PurchaseDate]],"ddd")</f>
        <v>Sun</v>
      </c>
      <c r="K70" s="12" t="str">
        <f>TEXT(Data[[#This Row],[PurchaseDate]],"mmm")</f>
        <v>Nov</v>
      </c>
    </row>
    <row r="71" spans="1:11" x14ac:dyDescent="0.25">
      <c r="A71" s="1" t="s">
        <v>118</v>
      </c>
      <c r="B71" s="2" t="s">
        <v>10</v>
      </c>
      <c r="C71" s="2" t="s">
        <v>11</v>
      </c>
      <c r="D71" s="2">
        <v>11</v>
      </c>
      <c r="E71" s="2">
        <v>118</v>
      </c>
      <c r="F71" s="2">
        <v>1298</v>
      </c>
      <c r="G71" s="3">
        <v>45735</v>
      </c>
      <c r="H71" s="2" t="s">
        <v>33</v>
      </c>
      <c r="I71" s="4" t="s">
        <v>45</v>
      </c>
      <c r="J71" s="12" t="str">
        <f>TEXT(Data[[#This Row],[PurchaseDate]],"ddd")</f>
        <v>Wed</v>
      </c>
      <c r="K71" s="12" t="str">
        <f>TEXT(Data[[#This Row],[PurchaseDate]],"mmm")</f>
        <v>Mar</v>
      </c>
    </row>
    <row r="72" spans="1:11" x14ac:dyDescent="0.25">
      <c r="A72" s="1" t="s">
        <v>119</v>
      </c>
      <c r="B72" s="2" t="s">
        <v>15</v>
      </c>
      <c r="C72" s="2" t="s">
        <v>16</v>
      </c>
      <c r="D72" s="2">
        <v>7</v>
      </c>
      <c r="E72" s="2">
        <v>14.31</v>
      </c>
      <c r="F72" s="2">
        <v>100.17</v>
      </c>
      <c r="G72" s="3">
        <v>45691</v>
      </c>
      <c r="H72" s="2" t="s">
        <v>33</v>
      </c>
      <c r="I72" s="4" t="s">
        <v>96</v>
      </c>
      <c r="J72" s="12" t="str">
        <f>TEXT(Data[[#This Row],[PurchaseDate]],"ddd")</f>
        <v>Mon</v>
      </c>
      <c r="K72" s="12" t="str">
        <f>TEXT(Data[[#This Row],[PurchaseDate]],"mmm")</f>
        <v>Feb</v>
      </c>
    </row>
    <row r="73" spans="1:11" x14ac:dyDescent="0.25">
      <c r="A73" s="1" t="s">
        <v>120</v>
      </c>
      <c r="B73" s="2" t="s">
        <v>22</v>
      </c>
      <c r="C73" s="2" t="s">
        <v>23</v>
      </c>
      <c r="D73" s="2">
        <v>5</v>
      </c>
      <c r="E73" s="2">
        <v>1.97</v>
      </c>
      <c r="F73" s="2">
        <v>9.85</v>
      </c>
      <c r="G73" s="3">
        <v>45797</v>
      </c>
      <c r="H73" s="2" t="s">
        <v>12</v>
      </c>
      <c r="I73" s="4" t="s">
        <v>39</v>
      </c>
      <c r="J73" s="12" t="str">
        <f>TEXT(Data[[#This Row],[PurchaseDate]],"ddd")</f>
        <v>Tue</v>
      </c>
      <c r="K73" s="12" t="str">
        <f>TEXT(Data[[#This Row],[PurchaseDate]],"mmm")</f>
        <v>May</v>
      </c>
    </row>
    <row r="74" spans="1:11" x14ac:dyDescent="0.25">
      <c r="A74" s="1" t="s">
        <v>121</v>
      </c>
      <c r="B74" s="2" t="s">
        <v>60</v>
      </c>
      <c r="C74" s="2" t="s">
        <v>30</v>
      </c>
      <c r="D74" s="2">
        <v>2</v>
      </c>
      <c r="E74" s="2">
        <v>979.47</v>
      </c>
      <c r="F74" s="2">
        <v>1958.94</v>
      </c>
      <c r="G74" s="3">
        <v>45882</v>
      </c>
      <c r="H74" s="2" t="s">
        <v>12</v>
      </c>
      <c r="I74" s="4" t="s">
        <v>47</v>
      </c>
      <c r="J74" s="12" t="str">
        <f>TEXT(Data[[#This Row],[PurchaseDate]],"ddd")</f>
        <v>Wed</v>
      </c>
      <c r="K74" s="12" t="str">
        <f>TEXT(Data[[#This Row],[PurchaseDate]],"mmm")</f>
        <v>Aug</v>
      </c>
    </row>
    <row r="75" spans="1:11" x14ac:dyDescent="0.25">
      <c r="A75" s="1" t="s">
        <v>122</v>
      </c>
      <c r="B75" s="2" t="s">
        <v>54</v>
      </c>
      <c r="C75" s="2" t="s">
        <v>55</v>
      </c>
      <c r="D75" s="2">
        <v>5</v>
      </c>
      <c r="E75" s="2">
        <v>46.27</v>
      </c>
      <c r="F75" s="2">
        <v>231.35</v>
      </c>
      <c r="G75" s="3">
        <v>45797</v>
      </c>
      <c r="H75" s="2" t="s">
        <v>24</v>
      </c>
      <c r="I75" s="4" t="s">
        <v>25</v>
      </c>
      <c r="J75" s="12" t="str">
        <f>TEXT(Data[[#This Row],[PurchaseDate]],"ddd")</f>
        <v>Tue</v>
      </c>
      <c r="K75" s="12" t="str">
        <f>TEXT(Data[[#This Row],[PurchaseDate]],"mmm")</f>
        <v>May</v>
      </c>
    </row>
    <row r="76" spans="1:11" x14ac:dyDescent="0.25">
      <c r="A76" s="1" t="s">
        <v>123</v>
      </c>
      <c r="B76" s="2" t="s">
        <v>15</v>
      </c>
      <c r="C76" s="2" t="s">
        <v>16</v>
      </c>
      <c r="D76" s="2">
        <v>8</v>
      </c>
      <c r="E76" s="2">
        <v>10.97</v>
      </c>
      <c r="F76" s="2">
        <v>87.76</v>
      </c>
      <c r="G76" s="3">
        <v>46018</v>
      </c>
      <c r="H76" s="2" t="s">
        <v>43</v>
      </c>
      <c r="I76" s="4" t="s">
        <v>47</v>
      </c>
      <c r="J76" s="12" t="str">
        <f>TEXT(Data[[#This Row],[PurchaseDate]],"ddd")</f>
        <v>Sat</v>
      </c>
      <c r="K76" s="12" t="str">
        <f>TEXT(Data[[#This Row],[PurchaseDate]],"mmm")</f>
        <v>Dec</v>
      </c>
    </row>
    <row r="77" spans="1:11" x14ac:dyDescent="0.25">
      <c r="A77" s="1" t="s">
        <v>124</v>
      </c>
      <c r="B77" s="2" t="s">
        <v>60</v>
      </c>
      <c r="C77" s="2" t="s">
        <v>30</v>
      </c>
      <c r="D77" s="2">
        <v>2</v>
      </c>
      <c r="E77" s="2">
        <v>903.12</v>
      </c>
      <c r="F77" s="2">
        <v>1806.24</v>
      </c>
      <c r="G77" s="3">
        <v>45692</v>
      </c>
      <c r="H77" s="2" t="s">
        <v>12</v>
      </c>
      <c r="I77" s="4" t="s">
        <v>94</v>
      </c>
      <c r="J77" s="12" t="str">
        <f>TEXT(Data[[#This Row],[PurchaseDate]],"ddd")</f>
        <v>Tue</v>
      </c>
      <c r="K77" s="12" t="str">
        <f>TEXT(Data[[#This Row],[PurchaseDate]],"mmm")</f>
        <v>Feb</v>
      </c>
    </row>
    <row r="78" spans="1:11" x14ac:dyDescent="0.25">
      <c r="A78" s="1" t="s">
        <v>125</v>
      </c>
      <c r="B78" s="2" t="s">
        <v>29</v>
      </c>
      <c r="C78" s="2" t="s">
        <v>30</v>
      </c>
      <c r="D78" s="2">
        <v>18</v>
      </c>
      <c r="E78" s="2">
        <v>281.14</v>
      </c>
      <c r="F78" s="2">
        <v>5060.5200000000004</v>
      </c>
      <c r="G78" s="3">
        <v>45936</v>
      </c>
      <c r="H78" s="2" t="s">
        <v>33</v>
      </c>
      <c r="I78" s="4" t="s">
        <v>83</v>
      </c>
      <c r="J78" s="12" t="str">
        <f>TEXT(Data[[#This Row],[PurchaseDate]],"ddd")</f>
        <v>Mon</v>
      </c>
      <c r="K78" s="12" t="str">
        <f>TEXT(Data[[#This Row],[PurchaseDate]],"mmm")</f>
        <v>Oct</v>
      </c>
    </row>
    <row r="79" spans="1:11" x14ac:dyDescent="0.25">
      <c r="A79" s="1" t="s">
        <v>126</v>
      </c>
      <c r="B79" s="2" t="s">
        <v>22</v>
      </c>
      <c r="C79" s="2" t="s">
        <v>23</v>
      </c>
      <c r="D79" s="2">
        <v>5</v>
      </c>
      <c r="E79" s="2">
        <v>2.5499999999999998</v>
      </c>
      <c r="F79" s="2">
        <v>12.75</v>
      </c>
      <c r="G79" s="3">
        <v>45700</v>
      </c>
      <c r="H79" s="2" t="s">
        <v>12</v>
      </c>
      <c r="I79" s="4" t="s">
        <v>56</v>
      </c>
      <c r="J79" s="12" t="str">
        <f>TEXT(Data[[#This Row],[PurchaseDate]],"ddd")</f>
        <v>Wed</v>
      </c>
      <c r="K79" s="12" t="str">
        <f>TEXT(Data[[#This Row],[PurchaseDate]],"mmm")</f>
        <v>Feb</v>
      </c>
    </row>
    <row r="80" spans="1:11" x14ac:dyDescent="0.25">
      <c r="A80" s="1" t="s">
        <v>127</v>
      </c>
      <c r="B80" s="2" t="s">
        <v>38</v>
      </c>
      <c r="C80" s="2" t="s">
        <v>23</v>
      </c>
      <c r="D80" s="2">
        <v>4</v>
      </c>
      <c r="E80" s="2">
        <v>10.43</v>
      </c>
      <c r="F80" s="2">
        <v>41.72</v>
      </c>
      <c r="G80" s="3">
        <v>45901</v>
      </c>
      <c r="H80" s="2" t="s">
        <v>24</v>
      </c>
      <c r="I80" s="4" t="s">
        <v>85</v>
      </c>
      <c r="J80" s="12" t="str">
        <f>TEXT(Data[[#This Row],[PurchaseDate]],"ddd")</f>
        <v>Mon</v>
      </c>
      <c r="K80" s="12" t="str">
        <f>TEXT(Data[[#This Row],[PurchaseDate]],"mmm")</f>
        <v>Sep</v>
      </c>
    </row>
    <row r="81" spans="1:11" x14ac:dyDescent="0.25">
      <c r="A81" s="1" t="s">
        <v>128</v>
      </c>
      <c r="B81" s="2" t="s">
        <v>29</v>
      </c>
      <c r="C81" s="2" t="s">
        <v>30</v>
      </c>
      <c r="D81" s="2">
        <v>6</v>
      </c>
      <c r="E81" s="2">
        <v>189.82</v>
      </c>
      <c r="F81" s="2">
        <v>1138.92</v>
      </c>
      <c r="G81" s="3">
        <v>45976</v>
      </c>
      <c r="H81" s="2" t="s">
        <v>43</v>
      </c>
      <c r="I81" s="4" t="s">
        <v>34</v>
      </c>
      <c r="J81" s="12" t="str">
        <f>TEXT(Data[[#This Row],[PurchaseDate]],"ddd")</f>
        <v>Sat</v>
      </c>
      <c r="K81" s="12" t="str">
        <f>TEXT(Data[[#This Row],[PurchaseDate]],"mmm")</f>
        <v>Nov</v>
      </c>
    </row>
    <row r="82" spans="1:11" x14ac:dyDescent="0.25">
      <c r="A82" s="1" t="s">
        <v>129</v>
      </c>
      <c r="B82" s="2" t="s">
        <v>52</v>
      </c>
      <c r="C82" s="2" t="s">
        <v>30</v>
      </c>
      <c r="D82" s="2">
        <v>12</v>
      </c>
      <c r="E82" s="2">
        <v>299.72000000000003</v>
      </c>
      <c r="F82" s="2">
        <v>3596.64</v>
      </c>
      <c r="G82" s="3">
        <v>45715</v>
      </c>
      <c r="H82" s="2" t="s">
        <v>24</v>
      </c>
      <c r="I82" s="4" t="s">
        <v>45</v>
      </c>
      <c r="J82" s="12" t="str">
        <f>TEXT(Data[[#This Row],[PurchaseDate]],"ddd")</f>
        <v>Thu</v>
      </c>
      <c r="K82" s="12" t="str">
        <f>TEXT(Data[[#This Row],[PurchaseDate]],"mmm")</f>
        <v>Feb</v>
      </c>
    </row>
    <row r="83" spans="1:11" x14ac:dyDescent="0.25">
      <c r="A83" s="1" t="s">
        <v>130</v>
      </c>
      <c r="B83" s="2" t="s">
        <v>15</v>
      </c>
      <c r="C83" s="2" t="s">
        <v>16</v>
      </c>
      <c r="D83" s="2">
        <v>12</v>
      </c>
      <c r="E83" s="2">
        <v>12.08</v>
      </c>
      <c r="F83" s="2">
        <v>144.96</v>
      </c>
      <c r="G83" s="3">
        <v>45667</v>
      </c>
      <c r="H83" s="2" t="s">
        <v>17</v>
      </c>
      <c r="I83" s="4" t="s">
        <v>49</v>
      </c>
      <c r="J83" s="12" t="str">
        <f>TEXT(Data[[#This Row],[PurchaseDate]],"ddd")</f>
        <v>Fri</v>
      </c>
      <c r="K83" s="12" t="str">
        <f>TEXT(Data[[#This Row],[PurchaseDate]],"mmm")</f>
        <v>Jan</v>
      </c>
    </row>
    <row r="84" spans="1:11" x14ac:dyDescent="0.25">
      <c r="A84" s="1" t="s">
        <v>131</v>
      </c>
      <c r="B84" s="2" t="s">
        <v>19</v>
      </c>
      <c r="C84" s="2" t="s">
        <v>20</v>
      </c>
      <c r="D84" s="2">
        <v>1</v>
      </c>
      <c r="E84" s="2">
        <v>9357.86</v>
      </c>
      <c r="F84" s="2">
        <v>9357.86</v>
      </c>
      <c r="G84" s="3">
        <v>45993</v>
      </c>
      <c r="H84" s="2" t="s">
        <v>12</v>
      </c>
      <c r="I84" s="4" t="s">
        <v>58</v>
      </c>
      <c r="J84" s="12" t="str">
        <f>TEXT(Data[[#This Row],[PurchaseDate]],"ddd")</f>
        <v>Tue</v>
      </c>
      <c r="K84" s="12" t="str">
        <f>TEXT(Data[[#This Row],[PurchaseDate]],"mmm")</f>
        <v>Dec</v>
      </c>
    </row>
    <row r="85" spans="1:11" x14ac:dyDescent="0.25">
      <c r="A85" s="1" t="s">
        <v>132</v>
      </c>
      <c r="B85" s="2" t="s">
        <v>19</v>
      </c>
      <c r="C85" s="2" t="s">
        <v>20</v>
      </c>
      <c r="D85" s="2">
        <v>1</v>
      </c>
      <c r="E85" s="2">
        <v>7221.2</v>
      </c>
      <c r="F85" s="2">
        <v>7221.2</v>
      </c>
      <c r="G85" s="3">
        <v>45904</v>
      </c>
      <c r="H85" s="2" t="s">
        <v>12</v>
      </c>
      <c r="I85" s="4" t="s">
        <v>133</v>
      </c>
      <c r="J85" s="12" t="str">
        <f>TEXT(Data[[#This Row],[PurchaseDate]],"ddd")</f>
        <v>Thu</v>
      </c>
      <c r="K85" s="12" t="str">
        <f>TEXT(Data[[#This Row],[PurchaseDate]],"mmm")</f>
        <v>Sep</v>
      </c>
    </row>
    <row r="86" spans="1:11" x14ac:dyDescent="0.25">
      <c r="A86" s="1" t="s">
        <v>134</v>
      </c>
      <c r="B86" s="2" t="s">
        <v>41</v>
      </c>
      <c r="C86" s="2" t="s">
        <v>11</v>
      </c>
      <c r="D86" s="2">
        <v>19</v>
      </c>
      <c r="E86" s="2">
        <v>124.01</v>
      </c>
      <c r="F86" s="2">
        <v>2356.19</v>
      </c>
      <c r="G86" s="3">
        <v>45799</v>
      </c>
      <c r="H86" s="2" t="s">
        <v>43</v>
      </c>
      <c r="I86" s="4" t="s">
        <v>25</v>
      </c>
      <c r="J86" s="12" t="str">
        <f>TEXT(Data[[#This Row],[PurchaseDate]],"ddd")</f>
        <v>Thu</v>
      </c>
      <c r="K86" s="12" t="str">
        <f>TEXT(Data[[#This Row],[PurchaseDate]],"mmm")</f>
        <v>May</v>
      </c>
    </row>
    <row r="87" spans="1:11" x14ac:dyDescent="0.25">
      <c r="A87" s="1" t="s">
        <v>135</v>
      </c>
      <c r="B87" s="2" t="s">
        <v>41</v>
      </c>
      <c r="C87" s="2" t="s">
        <v>11</v>
      </c>
      <c r="D87" s="2">
        <v>5</v>
      </c>
      <c r="E87" s="2">
        <v>153.07</v>
      </c>
      <c r="F87" s="2">
        <v>765.35</v>
      </c>
      <c r="G87" s="3">
        <v>45723</v>
      </c>
      <c r="H87" s="2" t="s">
        <v>12</v>
      </c>
      <c r="I87" s="4" t="s">
        <v>36</v>
      </c>
      <c r="J87" s="12" t="str">
        <f>TEXT(Data[[#This Row],[PurchaseDate]],"ddd")</f>
        <v>Fri</v>
      </c>
      <c r="K87" s="12" t="str">
        <f>TEXT(Data[[#This Row],[PurchaseDate]],"mmm")</f>
        <v>Mar</v>
      </c>
    </row>
    <row r="88" spans="1:11" x14ac:dyDescent="0.25">
      <c r="A88" s="1" t="s">
        <v>136</v>
      </c>
      <c r="B88" s="2" t="s">
        <v>10</v>
      </c>
      <c r="C88" s="2" t="s">
        <v>11</v>
      </c>
      <c r="D88" s="2">
        <v>15</v>
      </c>
      <c r="E88" s="2">
        <v>165.58</v>
      </c>
      <c r="F88" s="2">
        <v>2483.6999999999998</v>
      </c>
      <c r="G88" s="3">
        <v>45776</v>
      </c>
      <c r="H88" s="2" t="s">
        <v>12</v>
      </c>
      <c r="I88" s="4" t="s">
        <v>56</v>
      </c>
      <c r="J88" s="12" t="str">
        <f>TEXT(Data[[#This Row],[PurchaseDate]],"ddd")</f>
        <v>Tue</v>
      </c>
      <c r="K88" s="12" t="str">
        <f>TEXT(Data[[#This Row],[PurchaseDate]],"mmm")</f>
        <v>Apr</v>
      </c>
    </row>
    <row r="89" spans="1:11" x14ac:dyDescent="0.25">
      <c r="A89" s="1" t="s">
        <v>137</v>
      </c>
      <c r="B89" s="2" t="s">
        <v>19</v>
      </c>
      <c r="C89" s="2" t="s">
        <v>20</v>
      </c>
      <c r="D89" s="2">
        <v>1</v>
      </c>
      <c r="E89" s="2">
        <v>5555.59</v>
      </c>
      <c r="F89" s="2">
        <v>5555.59</v>
      </c>
      <c r="G89" s="3">
        <v>45767</v>
      </c>
      <c r="H89" s="2" t="s">
        <v>33</v>
      </c>
      <c r="I89" s="4" t="s">
        <v>56</v>
      </c>
      <c r="J89" s="12" t="str">
        <f>TEXT(Data[[#This Row],[PurchaseDate]],"ddd")</f>
        <v>Sun</v>
      </c>
      <c r="K89" s="12" t="str">
        <f>TEXT(Data[[#This Row],[PurchaseDate]],"mmm")</f>
        <v>Apr</v>
      </c>
    </row>
    <row r="90" spans="1:11" x14ac:dyDescent="0.25">
      <c r="A90" s="1" t="s">
        <v>138</v>
      </c>
      <c r="B90" s="2" t="s">
        <v>41</v>
      </c>
      <c r="C90" s="2" t="s">
        <v>11</v>
      </c>
      <c r="D90" s="2">
        <v>6</v>
      </c>
      <c r="E90" s="2">
        <v>150.57</v>
      </c>
      <c r="F90" s="2">
        <v>903.42</v>
      </c>
      <c r="G90" s="3">
        <v>45861</v>
      </c>
      <c r="H90" s="2" t="s">
        <v>12</v>
      </c>
      <c r="I90" s="4" t="s">
        <v>58</v>
      </c>
      <c r="J90" s="12" t="str">
        <f>TEXT(Data[[#This Row],[PurchaseDate]],"ddd")</f>
        <v>Wed</v>
      </c>
      <c r="K90" s="12" t="str">
        <f>TEXT(Data[[#This Row],[PurchaseDate]],"mmm")</f>
        <v>Jul</v>
      </c>
    </row>
    <row r="91" spans="1:11" x14ac:dyDescent="0.25">
      <c r="A91" s="1" t="s">
        <v>139</v>
      </c>
      <c r="B91" s="2" t="s">
        <v>60</v>
      </c>
      <c r="C91" s="2" t="s">
        <v>30</v>
      </c>
      <c r="D91" s="2">
        <v>6</v>
      </c>
      <c r="E91" s="2">
        <v>832.8</v>
      </c>
      <c r="F91" s="2">
        <v>4996.8</v>
      </c>
      <c r="G91" s="3">
        <v>45967</v>
      </c>
      <c r="H91" s="2" t="s">
        <v>17</v>
      </c>
      <c r="I91" s="4" t="s">
        <v>79</v>
      </c>
      <c r="J91" s="12" t="str">
        <f>TEXT(Data[[#This Row],[PurchaseDate]],"ddd")</f>
        <v>Thu</v>
      </c>
      <c r="K91" s="12" t="str">
        <f>TEXT(Data[[#This Row],[PurchaseDate]],"mmm")</f>
        <v>Nov</v>
      </c>
    </row>
    <row r="92" spans="1:11" x14ac:dyDescent="0.25">
      <c r="A92" s="1" t="s">
        <v>140</v>
      </c>
      <c r="B92" s="2" t="s">
        <v>10</v>
      </c>
      <c r="C92" s="2" t="s">
        <v>11</v>
      </c>
      <c r="D92" s="2">
        <v>15</v>
      </c>
      <c r="E92" s="2">
        <v>195.46</v>
      </c>
      <c r="F92" s="2">
        <v>2931.9</v>
      </c>
      <c r="G92" s="3">
        <v>45909</v>
      </c>
      <c r="H92" s="2" t="s">
        <v>43</v>
      </c>
      <c r="I92" s="4" t="s">
        <v>56</v>
      </c>
      <c r="J92" s="12" t="str">
        <f>TEXT(Data[[#This Row],[PurchaseDate]],"ddd")</f>
        <v>Tue</v>
      </c>
      <c r="K92" s="12" t="str">
        <f>TEXT(Data[[#This Row],[PurchaseDate]],"mmm")</f>
        <v>Sep</v>
      </c>
    </row>
    <row r="93" spans="1:11" x14ac:dyDescent="0.25">
      <c r="A93" s="1" t="s">
        <v>141</v>
      </c>
      <c r="B93" s="2" t="s">
        <v>15</v>
      </c>
      <c r="C93" s="2" t="s">
        <v>16</v>
      </c>
      <c r="D93" s="2">
        <v>7</v>
      </c>
      <c r="E93" s="2">
        <v>11.95</v>
      </c>
      <c r="F93" s="2">
        <v>83.65</v>
      </c>
      <c r="G93" s="3">
        <v>45919</v>
      </c>
      <c r="H93" s="2" t="s">
        <v>43</v>
      </c>
      <c r="I93" s="4" t="s">
        <v>133</v>
      </c>
      <c r="J93" s="12" t="str">
        <f>TEXT(Data[[#This Row],[PurchaseDate]],"ddd")</f>
        <v>Fri</v>
      </c>
      <c r="K93" s="12" t="str">
        <f>TEXT(Data[[#This Row],[PurchaseDate]],"mmm")</f>
        <v>Sep</v>
      </c>
    </row>
    <row r="94" spans="1:11" x14ac:dyDescent="0.25">
      <c r="A94" s="1" t="s">
        <v>142</v>
      </c>
      <c r="B94" s="2" t="s">
        <v>52</v>
      </c>
      <c r="C94" s="2" t="s">
        <v>30</v>
      </c>
      <c r="D94" s="2">
        <v>4</v>
      </c>
      <c r="E94" s="2">
        <v>246.9</v>
      </c>
      <c r="F94" s="2">
        <v>987.6</v>
      </c>
      <c r="G94" s="3">
        <v>45966</v>
      </c>
      <c r="H94" s="2" t="s">
        <v>17</v>
      </c>
      <c r="I94" s="4" t="s">
        <v>34</v>
      </c>
      <c r="J94" s="12" t="str">
        <f>TEXT(Data[[#This Row],[PurchaseDate]],"ddd")</f>
        <v>Wed</v>
      </c>
      <c r="K94" s="12" t="str">
        <f>TEXT(Data[[#This Row],[PurchaseDate]],"mmm")</f>
        <v>Nov</v>
      </c>
    </row>
    <row r="95" spans="1:11" x14ac:dyDescent="0.25">
      <c r="A95" s="1" t="s">
        <v>143</v>
      </c>
      <c r="B95" s="2" t="s">
        <v>60</v>
      </c>
      <c r="C95" s="2" t="s">
        <v>30</v>
      </c>
      <c r="D95" s="2">
        <v>7</v>
      </c>
      <c r="E95" s="2">
        <v>900.44</v>
      </c>
      <c r="F95" s="2">
        <v>6303.08</v>
      </c>
      <c r="G95" s="3">
        <v>45898</v>
      </c>
      <c r="H95" s="2" t="s">
        <v>17</v>
      </c>
      <c r="I95" s="4" t="s">
        <v>133</v>
      </c>
      <c r="J95" s="12" t="str">
        <f>TEXT(Data[[#This Row],[PurchaseDate]],"ddd")</f>
        <v>Fri</v>
      </c>
      <c r="K95" s="12" t="str">
        <f>TEXT(Data[[#This Row],[PurchaseDate]],"mmm")</f>
        <v>Aug</v>
      </c>
    </row>
    <row r="96" spans="1:11" x14ac:dyDescent="0.25">
      <c r="A96" s="1" t="s">
        <v>144</v>
      </c>
      <c r="B96" s="2" t="s">
        <v>10</v>
      </c>
      <c r="C96" s="2" t="s">
        <v>11</v>
      </c>
      <c r="D96" s="2">
        <v>12</v>
      </c>
      <c r="E96" s="2">
        <v>181.86</v>
      </c>
      <c r="F96" s="2">
        <v>2182.3200000000002</v>
      </c>
      <c r="G96" s="3">
        <v>45709</v>
      </c>
      <c r="H96" s="2" t="s">
        <v>43</v>
      </c>
      <c r="I96" s="4" t="s">
        <v>69</v>
      </c>
      <c r="J96" s="12" t="str">
        <f>TEXT(Data[[#This Row],[PurchaseDate]],"ddd")</f>
        <v>Fri</v>
      </c>
      <c r="K96" s="12" t="str">
        <f>TEXT(Data[[#This Row],[PurchaseDate]],"mmm")</f>
        <v>Feb</v>
      </c>
    </row>
    <row r="97" spans="1:11" x14ac:dyDescent="0.25">
      <c r="A97" s="1" t="s">
        <v>145</v>
      </c>
      <c r="B97" s="2" t="s">
        <v>10</v>
      </c>
      <c r="C97" s="2" t="s">
        <v>11</v>
      </c>
      <c r="D97" s="2">
        <v>1</v>
      </c>
      <c r="E97" s="2">
        <v>153.21</v>
      </c>
      <c r="F97" s="2">
        <v>153.21</v>
      </c>
      <c r="G97" s="3">
        <v>45731</v>
      </c>
      <c r="H97" s="2" t="s">
        <v>12</v>
      </c>
      <c r="I97" s="4" t="s">
        <v>13</v>
      </c>
      <c r="J97" s="12" t="str">
        <f>TEXT(Data[[#This Row],[PurchaseDate]],"ddd")</f>
        <v>Sat</v>
      </c>
      <c r="K97" s="12" t="str">
        <f>TEXT(Data[[#This Row],[PurchaseDate]],"mmm")</f>
        <v>Mar</v>
      </c>
    </row>
    <row r="98" spans="1:11" x14ac:dyDescent="0.25">
      <c r="A98" s="1" t="s">
        <v>146</v>
      </c>
      <c r="B98" s="2" t="s">
        <v>10</v>
      </c>
      <c r="C98" s="2" t="s">
        <v>11</v>
      </c>
      <c r="D98" s="2">
        <v>2</v>
      </c>
      <c r="E98" s="2">
        <v>109.08</v>
      </c>
      <c r="F98" s="2">
        <v>218.16</v>
      </c>
      <c r="G98" s="3">
        <v>45892</v>
      </c>
      <c r="H98" s="2" t="s">
        <v>17</v>
      </c>
      <c r="I98" s="4" t="s">
        <v>79</v>
      </c>
      <c r="J98" s="12" t="str">
        <f>TEXT(Data[[#This Row],[PurchaseDate]],"ddd")</f>
        <v>Sat</v>
      </c>
      <c r="K98" s="12" t="str">
        <f>TEXT(Data[[#This Row],[PurchaseDate]],"mmm")</f>
        <v>Aug</v>
      </c>
    </row>
    <row r="99" spans="1:11" x14ac:dyDescent="0.25">
      <c r="A99" s="1" t="s">
        <v>147</v>
      </c>
      <c r="B99" s="2" t="s">
        <v>54</v>
      </c>
      <c r="C99" s="2" t="s">
        <v>55</v>
      </c>
      <c r="D99" s="2">
        <v>12</v>
      </c>
      <c r="E99" s="2">
        <v>21.39</v>
      </c>
      <c r="F99" s="2">
        <v>256.68</v>
      </c>
      <c r="G99" s="3">
        <v>45916</v>
      </c>
      <c r="H99" s="2" t="s">
        <v>33</v>
      </c>
      <c r="I99" s="4" t="s">
        <v>25</v>
      </c>
      <c r="J99" s="12" t="str">
        <f>TEXT(Data[[#This Row],[PurchaseDate]],"ddd")</f>
        <v>Tue</v>
      </c>
      <c r="K99" s="12" t="str">
        <f>TEXT(Data[[#This Row],[PurchaseDate]],"mmm")</f>
        <v>Sep</v>
      </c>
    </row>
    <row r="100" spans="1:11" x14ac:dyDescent="0.25">
      <c r="A100" s="1" t="s">
        <v>148</v>
      </c>
      <c r="B100" s="2" t="s">
        <v>19</v>
      </c>
      <c r="C100" s="2" t="s">
        <v>20</v>
      </c>
      <c r="D100" s="2">
        <v>1</v>
      </c>
      <c r="E100" s="2">
        <v>9534.43</v>
      </c>
      <c r="F100" s="2">
        <v>9534.43</v>
      </c>
      <c r="G100" s="3">
        <v>45776</v>
      </c>
      <c r="H100" s="2" t="s">
        <v>24</v>
      </c>
      <c r="I100" s="4" t="s">
        <v>31</v>
      </c>
      <c r="J100" s="12" t="str">
        <f>TEXT(Data[[#This Row],[PurchaseDate]],"ddd")</f>
        <v>Tue</v>
      </c>
      <c r="K100" s="12" t="str">
        <f>TEXT(Data[[#This Row],[PurchaseDate]],"mmm")</f>
        <v>Apr</v>
      </c>
    </row>
    <row r="101" spans="1:11" x14ac:dyDescent="0.25">
      <c r="A101" s="1" t="s">
        <v>149</v>
      </c>
      <c r="B101" s="2" t="s">
        <v>54</v>
      </c>
      <c r="C101" s="2" t="s">
        <v>55</v>
      </c>
      <c r="D101" s="2">
        <v>10</v>
      </c>
      <c r="E101" s="2">
        <v>20.399999999999999</v>
      </c>
      <c r="F101" s="2">
        <v>204</v>
      </c>
      <c r="G101" s="3">
        <v>45984</v>
      </c>
      <c r="H101" s="2" t="s">
        <v>43</v>
      </c>
      <c r="I101" s="4" t="s">
        <v>47</v>
      </c>
      <c r="J101" s="12" t="str">
        <f>TEXT(Data[[#This Row],[PurchaseDate]],"ddd")</f>
        <v>Sun</v>
      </c>
      <c r="K101" s="12" t="str">
        <f>TEXT(Data[[#This Row],[PurchaseDate]],"mmm")</f>
        <v>Nov</v>
      </c>
    </row>
    <row r="102" spans="1:11" x14ac:dyDescent="0.25">
      <c r="A102" s="1" t="s">
        <v>150</v>
      </c>
      <c r="B102" s="2" t="s">
        <v>54</v>
      </c>
      <c r="C102" s="2" t="s">
        <v>55</v>
      </c>
      <c r="D102" s="2">
        <v>17</v>
      </c>
      <c r="E102" s="2">
        <v>24.34</v>
      </c>
      <c r="F102" s="2">
        <v>413.78</v>
      </c>
      <c r="G102" s="3">
        <v>45935</v>
      </c>
      <c r="H102" s="2" t="s">
        <v>33</v>
      </c>
      <c r="I102" s="4" t="s">
        <v>34</v>
      </c>
      <c r="J102" s="12" t="str">
        <f>TEXT(Data[[#This Row],[PurchaseDate]],"ddd")</f>
        <v>Sun</v>
      </c>
      <c r="K102" s="12" t="str">
        <f>TEXT(Data[[#This Row],[PurchaseDate]],"mmm")</f>
        <v>Oct</v>
      </c>
    </row>
    <row r="103" spans="1:11" x14ac:dyDescent="0.25">
      <c r="A103" s="1" t="s">
        <v>151</v>
      </c>
      <c r="B103" s="2" t="s">
        <v>29</v>
      </c>
      <c r="C103" s="2" t="s">
        <v>30</v>
      </c>
      <c r="D103" s="2">
        <v>1</v>
      </c>
      <c r="E103" s="2">
        <v>214.63</v>
      </c>
      <c r="F103" s="2">
        <v>214.63</v>
      </c>
      <c r="G103" s="3">
        <v>45871</v>
      </c>
      <c r="H103" s="2" t="s">
        <v>12</v>
      </c>
      <c r="I103" s="4" t="s">
        <v>45</v>
      </c>
      <c r="J103" s="12" t="str">
        <f>TEXT(Data[[#This Row],[PurchaseDate]],"ddd")</f>
        <v>Sat</v>
      </c>
      <c r="K103" s="12" t="str">
        <f>TEXT(Data[[#This Row],[PurchaseDate]],"mmm")</f>
        <v>Aug</v>
      </c>
    </row>
    <row r="104" spans="1:11" x14ac:dyDescent="0.25">
      <c r="A104" s="1" t="s">
        <v>152</v>
      </c>
      <c r="B104" s="2" t="s">
        <v>19</v>
      </c>
      <c r="C104" s="2" t="s">
        <v>20</v>
      </c>
      <c r="D104" s="2">
        <v>1</v>
      </c>
      <c r="E104" s="2">
        <v>8578.7199999999993</v>
      </c>
      <c r="F104" s="2">
        <v>8578.7199999999993</v>
      </c>
      <c r="G104" s="3">
        <v>45934</v>
      </c>
      <c r="H104" s="2" t="s">
        <v>12</v>
      </c>
      <c r="I104" s="4" t="s">
        <v>85</v>
      </c>
      <c r="J104" s="12" t="str">
        <f>TEXT(Data[[#This Row],[PurchaseDate]],"ddd")</f>
        <v>Sat</v>
      </c>
      <c r="K104" s="12" t="str">
        <f>TEXT(Data[[#This Row],[PurchaseDate]],"mmm")</f>
        <v>Oct</v>
      </c>
    </row>
    <row r="105" spans="1:11" x14ac:dyDescent="0.25">
      <c r="A105" s="1" t="s">
        <v>153</v>
      </c>
      <c r="B105" s="2" t="s">
        <v>38</v>
      </c>
      <c r="C105" s="2" t="s">
        <v>23</v>
      </c>
      <c r="D105" s="2">
        <v>11</v>
      </c>
      <c r="E105" s="2">
        <v>11.27</v>
      </c>
      <c r="F105" s="2">
        <v>123.97</v>
      </c>
      <c r="G105" s="3">
        <v>45898</v>
      </c>
      <c r="H105" s="2" t="s">
        <v>17</v>
      </c>
      <c r="I105" s="4" t="s">
        <v>47</v>
      </c>
      <c r="J105" s="12" t="str">
        <f>TEXT(Data[[#This Row],[PurchaseDate]],"ddd")</f>
        <v>Fri</v>
      </c>
      <c r="K105" s="12" t="str">
        <f>TEXT(Data[[#This Row],[PurchaseDate]],"mmm")</f>
        <v>Aug</v>
      </c>
    </row>
    <row r="106" spans="1:11" x14ac:dyDescent="0.25">
      <c r="A106" s="1" t="s">
        <v>154</v>
      </c>
      <c r="B106" s="2" t="s">
        <v>60</v>
      </c>
      <c r="C106" s="2" t="s">
        <v>30</v>
      </c>
      <c r="D106" s="2">
        <v>1</v>
      </c>
      <c r="E106" s="2">
        <v>848.76</v>
      </c>
      <c r="F106" s="2">
        <v>848.76</v>
      </c>
      <c r="G106" s="3">
        <v>46016</v>
      </c>
      <c r="H106" s="2" t="s">
        <v>17</v>
      </c>
      <c r="I106" s="4" t="s">
        <v>85</v>
      </c>
      <c r="J106" s="12" t="str">
        <f>TEXT(Data[[#This Row],[PurchaseDate]],"ddd")</f>
        <v>Thu</v>
      </c>
      <c r="K106" s="12" t="str">
        <f>TEXT(Data[[#This Row],[PurchaseDate]],"mmm")</f>
        <v>Dec</v>
      </c>
    </row>
    <row r="107" spans="1:11" x14ac:dyDescent="0.25">
      <c r="A107" s="1" t="s">
        <v>155</v>
      </c>
      <c r="B107" s="2" t="s">
        <v>41</v>
      </c>
      <c r="C107" s="2" t="s">
        <v>11</v>
      </c>
      <c r="D107" s="2">
        <v>6</v>
      </c>
      <c r="E107" s="2">
        <v>115.95</v>
      </c>
      <c r="F107" s="2">
        <v>695.7</v>
      </c>
      <c r="G107" s="3">
        <v>46015</v>
      </c>
      <c r="H107" s="2" t="s">
        <v>33</v>
      </c>
      <c r="I107" s="4" t="s">
        <v>45</v>
      </c>
      <c r="J107" s="12" t="str">
        <f>TEXT(Data[[#This Row],[PurchaseDate]],"ddd")</f>
        <v>Wed</v>
      </c>
      <c r="K107" s="12" t="str">
        <f>TEXT(Data[[#This Row],[PurchaseDate]],"mmm")</f>
        <v>Dec</v>
      </c>
    </row>
    <row r="108" spans="1:11" x14ac:dyDescent="0.25">
      <c r="A108" s="1" t="s">
        <v>156</v>
      </c>
      <c r="B108" s="2" t="s">
        <v>41</v>
      </c>
      <c r="C108" s="2" t="s">
        <v>11</v>
      </c>
      <c r="D108" s="2">
        <v>2</v>
      </c>
      <c r="E108" s="2">
        <v>124.67</v>
      </c>
      <c r="F108" s="2">
        <v>249.34</v>
      </c>
      <c r="G108" s="3">
        <v>45878</v>
      </c>
      <c r="H108" s="2" t="s">
        <v>12</v>
      </c>
      <c r="I108" s="4" t="s">
        <v>96</v>
      </c>
      <c r="J108" s="12" t="str">
        <f>TEXT(Data[[#This Row],[PurchaseDate]],"ddd")</f>
        <v>Sat</v>
      </c>
      <c r="K108" s="12" t="str">
        <f>TEXT(Data[[#This Row],[PurchaseDate]],"mmm")</f>
        <v>Aug</v>
      </c>
    </row>
    <row r="109" spans="1:11" x14ac:dyDescent="0.25">
      <c r="A109" s="1" t="s">
        <v>157</v>
      </c>
      <c r="B109" s="2" t="s">
        <v>54</v>
      </c>
      <c r="C109" s="2" t="s">
        <v>55</v>
      </c>
      <c r="D109" s="2">
        <v>16</v>
      </c>
      <c r="E109" s="2">
        <v>23.11</v>
      </c>
      <c r="F109" s="2">
        <v>369.76</v>
      </c>
      <c r="G109" s="3">
        <v>45894</v>
      </c>
      <c r="H109" s="2" t="s">
        <v>24</v>
      </c>
      <c r="I109" s="4" t="s">
        <v>31</v>
      </c>
      <c r="J109" s="12" t="str">
        <f>TEXT(Data[[#This Row],[PurchaseDate]],"ddd")</f>
        <v>Mon</v>
      </c>
      <c r="K109" s="12" t="str">
        <f>TEXT(Data[[#This Row],[PurchaseDate]],"mmm")</f>
        <v>Aug</v>
      </c>
    </row>
    <row r="110" spans="1:11" x14ac:dyDescent="0.25">
      <c r="A110" s="1" t="s">
        <v>158</v>
      </c>
      <c r="B110" s="2" t="s">
        <v>29</v>
      </c>
      <c r="C110" s="2" t="s">
        <v>30</v>
      </c>
      <c r="D110" s="2">
        <v>6</v>
      </c>
      <c r="E110" s="2">
        <v>286.22000000000003</v>
      </c>
      <c r="F110" s="2">
        <v>1717.32</v>
      </c>
      <c r="G110" s="3">
        <v>45936</v>
      </c>
      <c r="H110" s="2" t="s">
        <v>33</v>
      </c>
      <c r="I110" s="4" t="s">
        <v>36</v>
      </c>
      <c r="J110" s="12" t="str">
        <f>TEXT(Data[[#This Row],[PurchaseDate]],"ddd")</f>
        <v>Mon</v>
      </c>
      <c r="K110" s="12" t="str">
        <f>TEXT(Data[[#This Row],[PurchaseDate]],"mmm")</f>
        <v>Oct</v>
      </c>
    </row>
    <row r="111" spans="1:11" x14ac:dyDescent="0.25">
      <c r="A111" s="1" t="s">
        <v>159</v>
      </c>
      <c r="B111" s="2" t="s">
        <v>41</v>
      </c>
      <c r="C111" s="2" t="s">
        <v>11</v>
      </c>
      <c r="D111" s="2">
        <v>14</v>
      </c>
      <c r="E111" s="2">
        <v>175.56</v>
      </c>
      <c r="F111" s="2">
        <v>2457.84</v>
      </c>
      <c r="G111" s="3">
        <v>45886</v>
      </c>
      <c r="H111" s="2" t="s">
        <v>24</v>
      </c>
      <c r="I111" s="4" t="s">
        <v>34</v>
      </c>
      <c r="J111" s="12" t="str">
        <f>TEXT(Data[[#This Row],[PurchaseDate]],"ddd")</f>
        <v>Sun</v>
      </c>
      <c r="K111" s="12" t="str">
        <f>TEXT(Data[[#This Row],[PurchaseDate]],"mmm")</f>
        <v>Aug</v>
      </c>
    </row>
    <row r="112" spans="1:11" x14ac:dyDescent="0.25">
      <c r="A112" s="1" t="s">
        <v>160</v>
      </c>
      <c r="B112" s="2" t="s">
        <v>54</v>
      </c>
      <c r="C112" s="2" t="s">
        <v>55</v>
      </c>
      <c r="D112" s="2">
        <v>20</v>
      </c>
      <c r="E112" s="2">
        <v>27.36</v>
      </c>
      <c r="F112" s="2">
        <v>547.20000000000005</v>
      </c>
      <c r="G112" s="3">
        <v>45724</v>
      </c>
      <c r="H112" s="2" t="s">
        <v>12</v>
      </c>
      <c r="I112" s="4" t="s">
        <v>94</v>
      </c>
      <c r="J112" s="12" t="str">
        <f>TEXT(Data[[#This Row],[PurchaseDate]],"ddd")</f>
        <v>Sat</v>
      </c>
      <c r="K112" s="12" t="str">
        <f>TEXT(Data[[#This Row],[PurchaseDate]],"mmm")</f>
        <v>Mar</v>
      </c>
    </row>
    <row r="113" spans="1:11" x14ac:dyDescent="0.25">
      <c r="A113" s="1" t="s">
        <v>161</v>
      </c>
      <c r="B113" s="2" t="s">
        <v>19</v>
      </c>
      <c r="C113" s="2" t="s">
        <v>20</v>
      </c>
      <c r="D113" s="2">
        <v>1</v>
      </c>
      <c r="E113" s="2">
        <v>7628.02</v>
      </c>
      <c r="F113" s="2">
        <v>7628.02</v>
      </c>
      <c r="G113" s="3">
        <v>45814</v>
      </c>
      <c r="H113" s="2" t="s">
        <v>43</v>
      </c>
      <c r="I113" s="4" t="s">
        <v>133</v>
      </c>
      <c r="J113" s="12" t="str">
        <f>TEXT(Data[[#This Row],[PurchaseDate]],"ddd")</f>
        <v>Fri</v>
      </c>
      <c r="K113" s="12" t="str">
        <f>TEXT(Data[[#This Row],[PurchaseDate]],"mmm")</f>
        <v>Jun</v>
      </c>
    </row>
    <row r="114" spans="1:11" x14ac:dyDescent="0.25">
      <c r="A114" s="1" t="s">
        <v>162</v>
      </c>
      <c r="B114" s="2" t="s">
        <v>15</v>
      </c>
      <c r="C114" s="2" t="s">
        <v>16</v>
      </c>
      <c r="D114" s="2">
        <v>19</v>
      </c>
      <c r="E114" s="2">
        <v>11.32</v>
      </c>
      <c r="F114" s="2">
        <v>215.08</v>
      </c>
      <c r="G114" s="3">
        <v>45849</v>
      </c>
      <c r="H114" s="2" t="s">
        <v>43</v>
      </c>
      <c r="I114" s="4" t="s">
        <v>34</v>
      </c>
      <c r="J114" s="12" t="str">
        <f>TEXT(Data[[#This Row],[PurchaseDate]],"ddd")</f>
        <v>Fri</v>
      </c>
      <c r="K114" s="12" t="str">
        <f>TEXT(Data[[#This Row],[PurchaseDate]],"mmm")</f>
        <v>Jul</v>
      </c>
    </row>
    <row r="115" spans="1:11" x14ac:dyDescent="0.25">
      <c r="A115" s="1" t="s">
        <v>163</v>
      </c>
      <c r="B115" s="2" t="s">
        <v>22</v>
      </c>
      <c r="C115" s="2" t="s">
        <v>23</v>
      </c>
      <c r="D115" s="2">
        <v>15</v>
      </c>
      <c r="E115" s="2">
        <v>2.4900000000000002</v>
      </c>
      <c r="F115" s="2">
        <v>37.35</v>
      </c>
      <c r="G115" s="3">
        <v>45659</v>
      </c>
      <c r="H115" s="2" t="s">
        <v>12</v>
      </c>
      <c r="I115" s="4" t="s">
        <v>64</v>
      </c>
      <c r="J115" s="12" t="str">
        <f>TEXT(Data[[#This Row],[PurchaseDate]],"ddd")</f>
        <v>Thu</v>
      </c>
      <c r="K115" s="12" t="str">
        <f>TEXT(Data[[#This Row],[PurchaseDate]],"mmm")</f>
        <v>Jan</v>
      </c>
    </row>
    <row r="116" spans="1:11" x14ac:dyDescent="0.25">
      <c r="A116" s="1" t="s">
        <v>164</v>
      </c>
      <c r="B116" s="2" t="s">
        <v>10</v>
      </c>
      <c r="C116" s="2" t="s">
        <v>11</v>
      </c>
      <c r="D116" s="2">
        <v>18</v>
      </c>
      <c r="E116" s="2">
        <v>150.19999999999999</v>
      </c>
      <c r="F116" s="2">
        <v>2703.6</v>
      </c>
      <c r="G116" s="3">
        <v>45773</v>
      </c>
      <c r="H116" s="2" t="s">
        <v>12</v>
      </c>
      <c r="I116" s="4" t="s">
        <v>13</v>
      </c>
      <c r="J116" s="12" t="str">
        <f>TEXT(Data[[#This Row],[PurchaseDate]],"ddd")</f>
        <v>Sat</v>
      </c>
      <c r="K116" s="12" t="str">
        <f>TEXT(Data[[#This Row],[PurchaseDate]],"mmm")</f>
        <v>Apr</v>
      </c>
    </row>
    <row r="117" spans="1:11" x14ac:dyDescent="0.25">
      <c r="A117" s="1" t="s">
        <v>165</v>
      </c>
      <c r="B117" s="2" t="s">
        <v>41</v>
      </c>
      <c r="C117" s="2" t="s">
        <v>11</v>
      </c>
      <c r="D117" s="2">
        <v>19</v>
      </c>
      <c r="E117" s="2">
        <v>174.66</v>
      </c>
      <c r="F117" s="2">
        <v>3318.54</v>
      </c>
      <c r="G117" s="3">
        <v>45881</v>
      </c>
      <c r="H117" s="2" t="s">
        <v>43</v>
      </c>
      <c r="I117" s="4" t="s">
        <v>56</v>
      </c>
      <c r="J117" s="12" t="str">
        <f>TEXT(Data[[#This Row],[PurchaseDate]],"ddd")</f>
        <v>Tue</v>
      </c>
      <c r="K117" s="12" t="str">
        <f>TEXT(Data[[#This Row],[PurchaseDate]],"mmm")</f>
        <v>Aug</v>
      </c>
    </row>
    <row r="118" spans="1:11" x14ac:dyDescent="0.25">
      <c r="A118" s="1" t="s">
        <v>166</v>
      </c>
      <c r="B118" s="2" t="s">
        <v>29</v>
      </c>
      <c r="C118" s="2" t="s">
        <v>30</v>
      </c>
      <c r="D118" s="2">
        <v>15</v>
      </c>
      <c r="E118" s="2">
        <v>194.47</v>
      </c>
      <c r="F118" s="2">
        <v>2917.05</v>
      </c>
      <c r="G118" s="3">
        <v>45907</v>
      </c>
      <c r="H118" s="2" t="s">
        <v>33</v>
      </c>
      <c r="I118" s="4" t="s">
        <v>64</v>
      </c>
      <c r="J118" s="12" t="str">
        <f>TEXT(Data[[#This Row],[PurchaseDate]],"ddd")</f>
        <v>Sun</v>
      </c>
      <c r="K118" s="12" t="str">
        <f>TEXT(Data[[#This Row],[PurchaseDate]],"mmm")</f>
        <v>Sep</v>
      </c>
    </row>
    <row r="119" spans="1:11" x14ac:dyDescent="0.25">
      <c r="A119" s="1" t="s">
        <v>167</v>
      </c>
      <c r="B119" s="2" t="s">
        <v>38</v>
      </c>
      <c r="C119" s="2" t="s">
        <v>23</v>
      </c>
      <c r="D119" s="2">
        <v>16</v>
      </c>
      <c r="E119" s="2">
        <v>19.45</v>
      </c>
      <c r="F119" s="2">
        <v>311.2</v>
      </c>
      <c r="G119" s="3">
        <v>45665</v>
      </c>
      <c r="H119" s="2" t="s">
        <v>43</v>
      </c>
      <c r="I119" s="4" t="s">
        <v>83</v>
      </c>
      <c r="J119" s="12" t="str">
        <f>TEXT(Data[[#This Row],[PurchaseDate]],"ddd")</f>
        <v>Wed</v>
      </c>
      <c r="K119" s="12" t="str">
        <f>TEXT(Data[[#This Row],[PurchaseDate]],"mmm")</f>
        <v>Jan</v>
      </c>
    </row>
    <row r="120" spans="1:11" x14ac:dyDescent="0.25">
      <c r="A120" s="1" t="s">
        <v>168</v>
      </c>
      <c r="B120" s="2" t="s">
        <v>15</v>
      </c>
      <c r="C120" s="2" t="s">
        <v>16</v>
      </c>
      <c r="D120" s="2">
        <v>19</v>
      </c>
      <c r="E120" s="2">
        <v>9.39</v>
      </c>
      <c r="F120" s="2">
        <v>178.41</v>
      </c>
      <c r="G120" s="3">
        <v>46010</v>
      </c>
      <c r="H120" s="2" t="s">
        <v>12</v>
      </c>
      <c r="I120" s="4" t="s">
        <v>27</v>
      </c>
      <c r="J120" s="12" t="str">
        <f>TEXT(Data[[#This Row],[PurchaseDate]],"ddd")</f>
        <v>Fri</v>
      </c>
      <c r="K120" s="12" t="str">
        <f>TEXT(Data[[#This Row],[PurchaseDate]],"mmm")</f>
        <v>Dec</v>
      </c>
    </row>
    <row r="121" spans="1:11" x14ac:dyDescent="0.25">
      <c r="A121" s="1" t="s">
        <v>169</v>
      </c>
      <c r="B121" s="2" t="s">
        <v>54</v>
      </c>
      <c r="C121" s="2" t="s">
        <v>55</v>
      </c>
      <c r="D121" s="2">
        <v>12</v>
      </c>
      <c r="E121" s="2">
        <v>38.94</v>
      </c>
      <c r="F121" s="2">
        <v>467.28</v>
      </c>
      <c r="G121" s="3">
        <v>46018</v>
      </c>
      <c r="H121" s="2" t="s">
        <v>43</v>
      </c>
      <c r="I121" s="4" t="s">
        <v>13</v>
      </c>
      <c r="J121" s="12" t="str">
        <f>TEXT(Data[[#This Row],[PurchaseDate]],"ddd")</f>
        <v>Sat</v>
      </c>
      <c r="K121" s="12" t="str">
        <f>TEXT(Data[[#This Row],[PurchaseDate]],"mmm")</f>
        <v>Dec</v>
      </c>
    </row>
    <row r="122" spans="1:11" x14ac:dyDescent="0.25">
      <c r="A122" s="1" t="s">
        <v>170</v>
      </c>
      <c r="B122" s="2" t="s">
        <v>19</v>
      </c>
      <c r="C122" s="2" t="s">
        <v>20</v>
      </c>
      <c r="D122" s="2">
        <v>1</v>
      </c>
      <c r="E122" s="2">
        <v>6771.79</v>
      </c>
      <c r="F122" s="2">
        <v>6771.79</v>
      </c>
      <c r="G122" s="3">
        <v>45757</v>
      </c>
      <c r="H122" s="2" t="s">
        <v>12</v>
      </c>
      <c r="I122" s="4" t="s">
        <v>45</v>
      </c>
      <c r="J122" s="12" t="str">
        <f>TEXT(Data[[#This Row],[PurchaseDate]],"ddd")</f>
        <v>Thu</v>
      </c>
      <c r="K122" s="12" t="str">
        <f>TEXT(Data[[#This Row],[PurchaseDate]],"mmm")</f>
        <v>Apr</v>
      </c>
    </row>
    <row r="123" spans="1:11" x14ac:dyDescent="0.25">
      <c r="A123" s="1" t="s">
        <v>171</v>
      </c>
      <c r="B123" s="2" t="s">
        <v>41</v>
      </c>
      <c r="C123" s="2" t="s">
        <v>11</v>
      </c>
      <c r="D123" s="2">
        <v>2</v>
      </c>
      <c r="E123" s="2">
        <v>186.73</v>
      </c>
      <c r="F123" s="2">
        <v>373.46</v>
      </c>
      <c r="G123" s="3">
        <v>45827</v>
      </c>
      <c r="H123" s="2" t="s">
        <v>33</v>
      </c>
      <c r="I123" s="4" t="s">
        <v>25</v>
      </c>
      <c r="J123" s="12" t="str">
        <f>TEXT(Data[[#This Row],[PurchaseDate]],"ddd")</f>
        <v>Thu</v>
      </c>
      <c r="K123" s="12" t="str">
        <f>TEXT(Data[[#This Row],[PurchaseDate]],"mmm")</f>
        <v>Jun</v>
      </c>
    </row>
    <row r="124" spans="1:11" x14ac:dyDescent="0.25">
      <c r="A124" s="1" t="s">
        <v>172</v>
      </c>
      <c r="B124" s="2" t="s">
        <v>15</v>
      </c>
      <c r="C124" s="2" t="s">
        <v>16</v>
      </c>
      <c r="D124" s="2">
        <v>16</v>
      </c>
      <c r="E124" s="2">
        <v>12.78</v>
      </c>
      <c r="F124" s="2">
        <v>204.48</v>
      </c>
      <c r="G124" s="3">
        <v>45708</v>
      </c>
      <c r="H124" s="2" t="s">
        <v>17</v>
      </c>
      <c r="I124" s="4" t="s">
        <v>31</v>
      </c>
      <c r="J124" s="12" t="str">
        <f>TEXT(Data[[#This Row],[PurchaseDate]],"ddd")</f>
        <v>Thu</v>
      </c>
      <c r="K124" s="12" t="str">
        <f>TEXT(Data[[#This Row],[PurchaseDate]],"mmm")</f>
        <v>Feb</v>
      </c>
    </row>
    <row r="125" spans="1:11" x14ac:dyDescent="0.25">
      <c r="A125" s="1" t="s">
        <v>173</v>
      </c>
      <c r="B125" s="2" t="s">
        <v>22</v>
      </c>
      <c r="C125" s="2" t="s">
        <v>23</v>
      </c>
      <c r="D125" s="2">
        <v>1</v>
      </c>
      <c r="E125" s="2">
        <v>2.72</v>
      </c>
      <c r="F125" s="2">
        <v>2.72</v>
      </c>
      <c r="G125" s="3">
        <v>45746</v>
      </c>
      <c r="H125" s="2" t="s">
        <v>24</v>
      </c>
      <c r="I125" s="4" t="s">
        <v>133</v>
      </c>
      <c r="J125" s="12" t="str">
        <f>TEXT(Data[[#This Row],[PurchaseDate]],"ddd")</f>
        <v>Sun</v>
      </c>
      <c r="K125" s="12" t="str">
        <f>TEXT(Data[[#This Row],[PurchaseDate]],"mmm")</f>
        <v>Mar</v>
      </c>
    </row>
    <row r="126" spans="1:11" x14ac:dyDescent="0.25">
      <c r="A126" s="1" t="s">
        <v>174</v>
      </c>
      <c r="B126" s="2" t="s">
        <v>10</v>
      </c>
      <c r="C126" s="2" t="s">
        <v>11</v>
      </c>
      <c r="D126" s="2">
        <v>6</v>
      </c>
      <c r="E126" s="2">
        <v>118.67</v>
      </c>
      <c r="F126" s="2">
        <v>712.02</v>
      </c>
      <c r="G126" s="3">
        <v>45677</v>
      </c>
      <c r="H126" s="2" t="s">
        <v>12</v>
      </c>
      <c r="I126" s="4" t="s">
        <v>96</v>
      </c>
      <c r="J126" s="12" t="str">
        <f>TEXT(Data[[#This Row],[PurchaseDate]],"ddd")</f>
        <v>Mon</v>
      </c>
      <c r="K126" s="12" t="str">
        <f>TEXT(Data[[#This Row],[PurchaseDate]],"mmm")</f>
        <v>Jan</v>
      </c>
    </row>
    <row r="127" spans="1:11" x14ac:dyDescent="0.25">
      <c r="A127" s="1" t="s">
        <v>175</v>
      </c>
      <c r="B127" s="2" t="s">
        <v>60</v>
      </c>
      <c r="C127" s="2" t="s">
        <v>30</v>
      </c>
      <c r="D127" s="2">
        <v>4</v>
      </c>
      <c r="E127" s="2">
        <v>994.88</v>
      </c>
      <c r="F127" s="2">
        <v>3979.52</v>
      </c>
      <c r="G127" s="3">
        <v>45750</v>
      </c>
      <c r="H127" s="2" t="s">
        <v>24</v>
      </c>
      <c r="I127" s="4" t="s">
        <v>79</v>
      </c>
      <c r="J127" s="12" t="str">
        <f>TEXT(Data[[#This Row],[PurchaseDate]],"ddd")</f>
        <v>Thu</v>
      </c>
      <c r="K127" s="12" t="str">
        <f>TEXT(Data[[#This Row],[PurchaseDate]],"mmm")</f>
        <v>Apr</v>
      </c>
    </row>
    <row r="128" spans="1:11" x14ac:dyDescent="0.25">
      <c r="A128" s="1" t="s">
        <v>176</v>
      </c>
      <c r="B128" s="2" t="s">
        <v>38</v>
      </c>
      <c r="C128" s="2" t="s">
        <v>23</v>
      </c>
      <c r="D128" s="2">
        <v>3</v>
      </c>
      <c r="E128" s="2">
        <v>18.63</v>
      </c>
      <c r="F128" s="2">
        <v>55.89</v>
      </c>
      <c r="G128" s="3">
        <v>45788</v>
      </c>
      <c r="H128" s="2" t="s">
        <v>17</v>
      </c>
      <c r="I128" s="4" t="s">
        <v>133</v>
      </c>
      <c r="J128" s="12" t="str">
        <f>TEXT(Data[[#This Row],[PurchaseDate]],"ddd")</f>
        <v>Sun</v>
      </c>
      <c r="K128" s="12" t="str">
        <f>TEXT(Data[[#This Row],[PurchaseDate]],"mmm")</f>
        <v>May</v>
      </c>
    </row>
    <row r="129" spans="1:11" x14ac:dyDescent="0.25">
      <c r="A129" s="1" t="s">
        <v>177</v>
      </c>
      <c r="B129" s="2" t="s">
        <v>15</v>
      </c>
      <c r="C129" s="2" t="s">
        <v>16</v>
      </c>
      <c r="D129" s="2">
        <v>8</v>
      </c>
      <c r="E129" s="2">
        <v>12.92</v>
      </c>
      <c r="F129" s="2">
        <v>103.36</v>
      </c>
      <c r="G129" s="3">
        <v>45869</v>
      </c>
      <c r="H129" s="2" t="s">
        <v>24</v>
      </c>
      <c r="I129" s="4" t="s">
        <v>45</v>
      </c>
      <c r="J129" s="12" t="str">
        <f>TEXT(Data[[#This Row],[PurchaseDate]],"ddd")</f>
        <v>Thu</v>
      </c>
      <c r="K129" s="12" t="str">
        <f>TEXT(Data[[#This Row],[PurchaseDate]],"mmm")</f>
        <v>Jul</v>
      </c>
    </row>
    <row r="130" spans="1:11" x14ac:dyDescent="0.25">
      <c r="A130" s="1" t="s">
        <v>178</v>
      </c>
      <c r="B130" s="2" t="s">
        <v>38</v>
      </c>
      <c r="C130" s="2" t="s">
        <v>23</v>
      </c>
      <c r="D130" s="2">
        <v>10</v>
      </c>
      <c r="E130" s="2">
        <v>14.97</v>
      </c>
      <c r="F130" s="2">
        <v>149.69999999999999</v>
      </c>
      <c r="G130" s="3">
        <v>45778</v>
      </c>
      <c r="H130" s="2" t="s">
        <v>43</v>
      </c>
      <c r="I130" s="4" t="s">
        <v>56</v>
      </c>
      <c r="J130" s="12" t="str">
        <f>TEXT(Data[[#This Row],[PurchaseDate]],"ddd")</f>
        <v>Thu</v>
      </c>
      <c r="K130" s="12" t="str">
        <f>TEXT(Data[[#This Row],[PurchaseDate]],"mmm")</f>
        <v>May</v>
      </c>
    </row>
    <row r="131" spans="1:11" x14ac:dyDescent="0.25">
      <c r="A131" s="1" t="s">
        <v>179</v>
      </c>
      <c r="B131" s="2" t="s">
        <v>54</v>
      </c>
      <c r="C131" s="2" t="s">
        <v>55</v>
      </c>
      <c r="D131" s="2">
        <v>10</v>
      </c>
      <c r="E131" s="2">
        <v>26.48</v>
      </c>
      <c r="F131" s="2">
        <v>264.8</v>
      </c>
      <c r="G131" s="3">
        <v>45767</v>
      </c>
      <c r="H131" s="2" t="s">
        <v>17</v>
      </c>
      <c r="I131" s="4" t="s">
        <v>25</v>
      </c>
      <c r="J131" s="12" t="str">
        <f>TEXT(Data[[#This Row],[PurchaseDate]],"ddd")</f>
        <v>Sun</v>
      </c>
      <c r="K131" s="12" t="str">
        <f>TEXT(Data[[#This Row],[PurchaseDate]],"mmm")</f>
        <v>Apr</v>
      </c>
    </row>
    <row r="132" spans="1:11" x14ac:dyDescent="0.25">
      <c r="A132" s="1" t="s">
        <v>180</v>
      </c>
      <c r="B132" s="2" t="s">
        <v>52</v>
      </c>
      <c r="C132" s="2" t="s">
        <v>30</v>
      </c>
      <c r="D132" s="2">
        <v>11</v>
      </c>
      <c r="E132" s="2">
        <v>301.04000000000002</v>
      </c>
      <c r="F132" s="2">
        <v>3311.44</v>
      </c>
      <c r="G132" s="3">
        <v>45795</v>
      </c>
      <c r="H132" s="2" t="s">
        <v>43</v>
      </c>
      <c r="I132" s="4" t="s">
        <v>25</v>
      </c>
      <c r="J132" s="12" t="str">
        <f>TEXT(Data[[#This Row],[PurchaseDate]],"ddd")</f>
        <v>Sun</v>
      </c>
      <c r="K132" s="12" t="str">
        <f>TEXT(Data[[#This Row],[PurchaseDate]],"mmm")</f>
        <v>May</v>
      </c>
    </row>
    <row r="133" spans="1:11" x14ac:dyDescent="0.25">
      <c r="A133" s="1" t="s">
        <v>181</v>
      </c>
      <c r="B133" s="2" t="s">
        <v>15</v>
      </c>
      <c r="C133" s="2" t="s">
        <v>16</v>
      </c>
      <c r="D133" s="2">
        <v>16</v>
      </c>
      <c r="E133" s="2">
        <v>13.81</v>
      </c>
      <c r="F133" s="2">
        <v>220.96</v>
      </c>
      <c r="G133" s="3">
        <v>46007</v>
      </c>
      <c r="H133" s="2" t="s">
        <v>24</v>
      </c>
      <c r="I133" s="4" t="s">
        <v>25</v>
      </c>
      <c r="J133" s="12" t="str">
        <f>TEXT(Data[[#This Row],[PurchaseDate]],"ddd")</f>
        <v>Tue</v>
      </c>
      <c r="K133" s="12" t="str">
        <f>TEXT(Data[[#This Row],[PurchaseDate]],"mmm")</f>
        <v>Dec</v>
      </c>
    </row>
    <row r="134" spans="1:11" x14ac:dyDescent="0.25">
      <c r="A134" s="1" t="s">
        <v>182</v>
      </c>
      <c r="B134" s="2" t="s">
        <v>19</v>
      </c>
      <c r="C134" s="2" t="s">
        <v>20</v>
      </c>
      <c r="D134" s="2">
        <v>1</v>
      </c>
      <c r="E134" s="2">
        <v>8878.61</v>
      </c>
      <c r="F134" s="2">
        <v>8878.61</v>
      </c>
      <c r="G134" s="3">
        <v>45920</v>
      </c>
      <c r="H134" s="2" t="s">
        <v>43</v>
      </c>
      <c r="I134" s="4" t="s">
        <v>133</v>
      </c>
      <c r="J134" s="12" t="str">
        <f>TEXT(Data[[#This Row],[PurchaseDate]],"ddd")</f>
        <v>Sat</v>
      </c>
      <c r="K134" s="12" t="str">
        <f>TEXT(Data[[#This Row],[PurchaseDate]],"mmm")</f>
        <v>Sep</v>
      </c>
    </row>
    <row r="135" spans="1:11" x14ac:dyDescent="0.25">
      <c r="A135" s="1" t="s">
        <v>183</v>
      </c>
      <c r="B135" s="2" t="s">
        <v>60</v>
      </c>
      <c r="C135" s="2" t="s">
        <v>30</v>
      </c>
      <c r="D135" s="2">
        <v>17</v>
      </c>
      <c r="E135" s="2">
        <v>830.68</v>
      </c>
      <c r="F135" s="2">
        <v>14121.56</v>
      </c>
      <c r="G135" s="3">
        <v>45768</v>
      </c>
      <c r="H135" s="2" t="s">
        <v>33</v>
      </c>
      <c r="I135" s="4" t="s">
        <v>34</v>
      </c>
      <c r="J135" s="12" t="str">
        <f>TEXT(Data[[#This Row],[PurchaseDate]],"ddd")</f>
        <v>Mon</v>
      </c>
      <c r="K135" s="12" t="str">
        <f>TEXT(Data[[#This Row],[PurchaseDate]],"mmm")</f>
        <v>Apr</v>
      </c>
    </row>
    <row r="136" spans="1:11" x14ac:dyDescent="0.25">
      <c r="A136" s="1" t="s">
        <v>184</v>
      </c>
      <c r="B136" s="2" t="s">
        <v>10</v>
      </c>
      <c r="C136" s="2" t="s">
        <v>11</v>
      </c>
      <c r="D136" s="2">
        <v>5</v>
      </c>
      <c r="E136" s="2">
        <v>106.3</v>
      </c>
      <c r="F136" s="2">
        <v>531.5</v>
      </c>
      <c r="G136" s="3">
        <v>46019</v>
      </c>
      <c r="H136" s="2" t="s">
        <v>17</v>
      </c>
      <c r="I136" s="4" t="s">
        <v>96</v>
      </c>
      <c r="J136" s="12" t="str">
        <f>TEXT(Data[[#This Row],[PurchaseDate]],"ddd")</f>
        <v>Sun</v>
      </c>
      <c r="K136" s="12" t="str">
        <f>TEXT(Data[[#This Row],[PurchaseDate]],"mmm")</f>
        <v>Dec</v>
      </c>
    </row>
    <row r="137" spans="1:11" x14ac:dyDescent="0.25">
      <c r="A137" s="1" t="s">
        <v>185</v>
      </c>
      <c r="B137" s="2" t="s">
        <v>38</v>
      </c>
      <c r="C137" s="2" t="s">
        <v>23</v>
      </c>
      <c r="D137" s="2">
        <v>5</v>
      </c>
      <c r="E137" s="2">
        <v>14.07</v>
      </c>
      <c r="F137" s="2">
        <v>70.349999999999994</v>
      </c>
      <c r="G137" s="3">
        <v>45770</v>
      </c>
      <c r="H137" s="2" t="s">
        <v>12</v>
      </c>
      <c r="I137" s="4" t="s">
        <v>79</v>
      </c>
      <c r="J137" s="12" t="str">
        <f>TEXT(Data[[#This Row],[PurchaseDate]],"ddd")</f>
        <v>Wed</v>
      </c>
      <c r="K137" s="12" t="str">
        <f>TEXT(Data[[#This Row],[PurchaseDate]],"mmm")</f>
        <v>Apr</v>
      </c>
    </row>
    <row r="138" spans="1:11" x14ac:dyDescent="0.25">
      <c r="A138" s="1" t="s">
        <v>186</v>
      </c>
      <c r="B138" s="2" t="s">
        <v>60</v>
      </c>
      <c r="C138" s="2" t="s">
        <v>30</v>
      </c>
      <c r="D138" s="2">
        <v>13</v>
      </c>
      <c r="E138" s="2">
        <v>825.83</v>
      </c>
      <c r="F138" s="2">
        <v>10735.79</v>
      </c>
      <c r="G138" s="3">
        <v>45730</v>
      </c>
      <c r="H138" s="2" t="s">
        <v>17</v>
      </c>
      <c r="I138" s="4" t="s">
        <v>69</v>
      </c>
      <c r="J138" s="12" t="str">
        <f>TEXT(Data[[#This Row],[PurchaseDate]],"ddd")</f>
        <v>Fri</v>
      </c>
      <c r="K138" s="12" t="str">
        <f>TEXT(Data[[#This Row],[PurchaseDate]],"mmm")</f>
        <v>Mar</v>
      </c>
    </row>
    <row r="139" spans="1:11" x14ac:dyDescent="0.25">
      <c r="A139" s="1" t="s">
        <v>187</v>
      </c>
      <c r="B139" s="2" t="s">
        <v>54</v>
      </c>
      <c r="C139" s="2" t="s">
        <v>55</v>
      </c>
      <c r="D139" s="2">
        <v>14</v>
      </c>
      <c r="E139" s="2">
        <v>44.92</v>
      </c>
      <c r="F139" s="2">
        <v>628.88</v>
      </c>
      <c r="G139" s="3">
        <v>45958</v>
      </c>
      <c r="H139" s="2" t="s">
        <v>24</v>
      </c>
      <c r="I139" s="4" t="s">
        <v>83</v>
      </c>
      <c r="J139" s="12" t="str">
        <f>TEXT(Data[[#This Row],[PurchaseDate]],"ddd")</f>
        <v>Tue</v>
      </c>
      <c r="K139" s="12" t="str">
        <f>TEXT(Data[[#This Row],[PurchaseDate]],"mmm")</f>
        <v>Oct</v>
      </c>
    </row>
    <row r="140" spans="1:11" x14ac:dyDescent="0.25">
      <c r="A140" s="1" t="s">
        <v>188</v>
      </c>
      <c r="B140" s="2" t="s">
        <v>52</v>
      </c>
      <c r="C140" s="2" t="s">
        <v>30</v>
      </c>
      <c r="D140" s="2">
        <v>13</v>
      </c>
      <c r="E140" s="2">
        <v>239.84</v>
      </c>
      <c r="F140" s="2">
        <v>3117.92</v>
      </c>
      <c r="G140" s="3">
        <v>45924</v>
      </c>
      <c r="H140" s="2" t="s">
        <v>43</v>
      </c>
      <c r="I140" s="4" t="s">
        <v>25</v>
      </c>
      <c r="J140" s="12" t="str">
        <f>TEXT(Data[[#This Row],[PurchaseDate]],"ddd")</f>
        <v>Wed</v>
      </c>
      <c r="K140" s="12" t="str">
        <f>TEXT(Data[[#This Row],[PurchaseDate]],"mmm")</f>
        <v>Sep</v>
      </c>
    </row>
    <row r="141" spans="1:11" x14ac:dyDescent="0.25">
      <c r="A141" s="1" t="s">
        <v>189</v>
      </c>
      <c r="B141" s="2" t="s">
        <v>38</v>
      </c>
      <c r="C141" s="2" t="s">
        <v>23</v>
      </c>
      <c r="D141" s="2">
        <v>8</v>
      </c>
      <c r="E141" s="2">
        <v>11.53</v>
      </c>
      <c r="F141" s="2">
        <v>92.24</v>
      </c>
      <c r="G141" s="3">
        <v>45776</v>
      </c>
      <c r="H141" s="2" t="s">
        <v>33</v>
      </c>
      <c r="I141" s="4" t="s">
        <v>27</v>
      </c>
      <c r="J141" s="12" t="str">
        <f>TEXT(Data[[#This Row],[PurchaseDate]],"ddd")</f>
        <v>Tue</v>
      </c>
      <c r="K141" s="12" t="str">
        <f>TEXT(Data[[#This Row],[PurchaseDate]],"mmm")</f>
        <v>Apr</v>
      </c>
    </row>
    <row r="142" spans="1:11" x14ac:dyDescent="0.25">
      <c r="A142" s="1" t="s">
        <v>190</v>
      </c>
      <c r="B142" s="2" t="s">
        <v>19</v>
      </c>
      <c r="C142" s="2" t="s">
        <v>20</v>
      </c>
      <c r="D142" s="2">
        <v>1</v>
      </c>
      <c r="E142" s="2">
        <v>5452.69</v>
      </c>
      <c r="F142" s="2">
        <v>5452.69</v>
      </c>
      <c r="G142" s="3">
        <v>45789</v>
      </c>
      <c r="H142" s="2" t="s">
        <v>24</v>
      </c>
      <c r="I142" s="4" t="s">
        <v>27</v>
      </c>
      <c r="J142" s="12" t="str">
        <f>TEXT(Data[[#This Row],[PurchaseDate]],"ddd")</f>
        <v>Mon</v>
      </c>
      <c r="K142" s="12" t="str">
        <f>TEXT(Data[[#This Row],[PurchaseDate]],"mmm")</f>
        <v>May</v>
      </c>
    </row>
    <row r="143" spans="1:11" x14ac:dyDescent="0.25">
      <c r="A143" s="1" t="s">
        <v>191</v>
      </c>
      <c r="B143" s="2" t="s">
        <v>19</v>
      </c>
      <c r="C143" s="2" t="s">
        <v>20</v>
      </c>
      <c r="D143" s="2">
        <v>1</v>
      </c>
      <c r="E143" s="2">
        <v>6342.34</v>
      </c>
      <c r="F143" s="2">
        <v>6342.34</v>
      </c>
      <c r="G143" s="3">
        <v>45835</v>
      </c>
      <c r="H143" s="2" t="s">
        <v>17</v>
      </c>
      <c r="I143" s="4" t="s">
        <v>47</v>
      </c>
      <c r="J143" s="12" t="str">
        <f>TEXT(Data[[#This Row],[PurchaseDate]],"ddd")</f>
        <v>Fri</v>
      </c>
      <c r="K143" s="12" t="str">
        <f>TEXT(Data[[#This Row],[PurchaseDate]],"mmm")</f>
        <v>Jun</v>
      </c>
    </row>
    <row r="144" spans="1:11" x14ac:dyDescent="0.25">
      <c r="A144" s="1" t="s">
        <v>192</v>
      </c>
      <c r="B144" s="2" t="s">
        <v>15</v>
      </c>
      <c r="C144" s="2" t="s">
        <v>16</v>
      </c>
      <c r="D144" s="2">
        <v>13</v>
      </c>
      <c r="E144" s="2">
        <v>8.92</v>
      </c>
      <c r="F144" s="2">
        <v>115.96</v>
      </c>
      <c r="G144" s="3">
        <v>45756</v>
      </c>
      <c r="H144" s="2" t="s">
        <v>12</v>
      </c>
      <c r="I144" s="4" t="s">
        <v>39</v>
      </c>
      <c r="J144" s="12" t="str">
        <f>TEXT(Data[[#This Row],[PurchaseDate]],"ddd")</f>
        <v>Wed</v>
      </c>
      <c r="K144" s="12" t="str">
        <f>TEXT(Data[[#This Row],[PurchaseDate]],"mmm")</f>
        <v>Apr</v>
      </c>
    </row>
    <row r="145" spans="1:11" x14ac:dyDescent="0.25">
      <c r="A145" s="1" t="s">
        <v>193</v>
      </c>
      <c r="B145" s="2" t="s">
        <v>54</v>
      </c>
      <c r="C145" s="2" t="s">
        <v>55</v>
      </c>
      <c r="D145" s="2">
        <v>18</v>
      </c>
      <c r="E145" s="2">
        <v>41.98</v>
      </c>
      <c r="F145" s="2">
        <v>755.64</v>
      </c>
      <c r="G145" s="3">
        <v>45820</v>
      </c>
      <c r="H145" s="2" t="s">
        <v>12</v>
      </c>
      <c r="I145" s="4" t="s">
        <v>13</v>
      </c>
      <c r="J145" s="12" t="str">
        <f>TEXT(Data[[#This Row],[PurchaseDate]],"ddd")</f>
        <v>Thu</v>
      </c>
      <c r="K145" s="12" t="str">
        <f>TEXT(Data[[#This Row],[PurchaseDate]],"mmm")</f>
        <v>Jun</v>
      </c>
    </row>
    <row r="146" spans="1:11" x14ac:dyDescent="0.25">
      <c r="A146" s="1" t="s">
        <v>194</v>
      </c>
      <c r="B146" s="2" t="s">
        <v>10</v>
      </c>
      <c r="C146" s="2" t="s">
        <v>11</v>
      </c>
      <c r="D146" s="2">
        <v>9</v>
      </c>
      <c r="E146" s="2">
        <v>117.69</v>
      </c>
      <c r="F146" s="2">
        <v>1059.21</v>
      </c>
      <c r="G146" s="3">
        <v>45988</v>
      </c>
      <c r="H146" s="2" t="s">
        <v>17</v>
      </c>
      <c r="I146" s="4" t="s">
        <v>47</v>
      </c>
      <c r="J146" s="12" t="str">
        <f>TEXT(Data[[#This Row],[PurchaseDate]],"ddd")</f>
        <v>Thu</v>
      </c>
      <c r="K146" s="12" t="str">
        <f>TEXT(Data[[#This Row],[PurchaseDate]],"mmm")</f>
        <v>Nov</v>
      </c>
    </row>
    <row r="147" spans="1:11" x14ac:dyDescent="0.25">
      <c r="A147" s="1" t="s">
        <v>195</v>
      </c>
      <c r="B147" s="2" t="s">
        <v>10</v>
      </c>
      <c r="C147" s="2" t="s">
        <v>11</v>
      </c>
      <c r="D147" s="2">
        <v>18</v>
      </c>
      <c r="E147" s="2">
        <v>108.01</v>
      </c>
      <c r="F147" s="2">
        <v>1944.18</v>
      </c>
      <c r="G147" s="3">
        <v>46002</v>
      </c>
      <c r="H147" s="2" t="s">
        <v>33</v>
      </c>
      <c r="I147" s="4" t="s">
        <v>27</v>
      </c>
      <c r="J147" s="12" t="str">
        <f>TEXT(Data[[#This Row],[PurchaseDate]],"ddd")</f>
        <v>Thu</v>
      </c>
      <c r="K147" s="12" t="str">
        <f>TEXT(Data[[#This Row],[PurchaseDate]],"mmm")</f>
        <v>Dec</v>
      </c>
    </row>
    <row r="148" spans="1:11" x14ac:dyDescent="0.25">
      <c r="A148" s="1" t="s">
        <v>196</v>
      </c>
      <c r="B148" s="2" t="s">
        <v>10</v>
      </c>
      <c r="C148" s="2" t="s">
        <v>11</v>
      </c>
      <c r="D148" s="2">
        <v>16</v>
      </c>
      <c r="E148" s="2">
        <v>132.19999999999999</v>
      </c>
      <c r="F148" s="2">
        <v>2115.1999999999998</v>
      </c>
      <c r="G148" s="3">
        <v>45956</v>
      </c>
      <c r="H148" s="2" t="s">
        <v>43</v>
      </c>
      <c r="I148" s="4" t="s">
        <v>79</v>
      </c>
      <c r="J148" s="12" t="str">
        <f>TEXT(Data[[#This Row],[PurchaseDate]],"ddd")</f>
        <v>Sun</v>
      </c>
      <c r="K148" s="12" t="str">
        <f>TEXT(Data[[#This Row],[PurchaseDate]],"mmm")</f>
        <v>Oct</v>
      </c>
    </row>
    <row r="149" spans="1:11" x14ac:dyDescent="0.25">
      <c r="A149" s="1" t="s">
        <v>197</v>
      </c>
      <c r="B149" s="2" t="s">
        <v>10</v>
      </c>
      <c r="C149" s="2" t="s">
        <v>11</v>
      </c>
      <c r="D149" s="2">
        <v>17</v>
      </c>
      <c r="E149" s="2">
        <v>128.36000000000001</v>
      </c>
      <c r="F149" s="2">
        <v>2182.12</v>
      </c>
      <c r="G149" s="3">
        <v>45941</v>
      </c>
      <c r="H149" s="2" t="s">
        <v>24</v>
      </c>
      <c r="I149" s="4" t="s">
        <v>79</v>
      </c>
      <c r="J149" s="12" t="str">
        <f>TEXT(Data[[#This Row],[PurchaseDate]],"ddd")</f>
        <v>Sat</v>
      </c>
      <c r="K149" s="12" t="str">
        <f>TEXT(Data[[#This Row],[PurchaseDate]],"mmm")</f>
        <v>Oct</v>
      </c>
    </row>
    <row r="150" spans="1:11" x14ac:dyDescent="0.25">
      <c r="A150" s="1" t="s">
        <v>198</v>
      </c>
      <c r="B150" s="2" t="s">
        <v>29</v>
      </c>
      <c r="C150" s="2" t="s">
        <v>30</v>
      </c>
      <c r="D150" s="2">
        <v>5</v>
      </c>
      <c r="E150" s="2">
        <v>237.86</v>
      </c>
      <c r="F150" s="2">
        <v>1189.3</v>
      </c>
      <c r="G150" s="3">
        <v>45976</v>
      </c>
      <c r="H150" s="2" t="s">
        <v>17</v>
      </c>
      <c r="I150" s="4" t="s">
        <v>49</v>
      </c>
      <c r="J150" s="12" t="str">
        <f>TEXT(Data[[#This Row],[PurchaseDate]],"ddd")</f>
        <v>Sat</v>
      </c>
      <c r="K150" s="12" t="str">
        <f>TEXT(Data[[#This Row],[PurchaseDate]],"mmm")</f>
        <v>Nov</v>
      </c>
    </row>
    <row r="151" spans="1:11" x14ac:dyDescent="0.25">
      <c r="A151" s="1" t="s">
        <v>199</v>
      </c>
      <c r="B151" s="2" t="s">
        <v>19</v>
      </c>
      <c r="C151" s="2" t="s">
        <v>20</v>
      </c>
      <c r="D151" s="2">
        <v>1</v>
      </c>
      <c r="E151" s="2">
        <v>8719.36</v>
      </c>
      <c r="F151" s="2">
        <v>8719.36</v>
      </c>
      <c r="G151" s="3">
        <v>45932</v>
      </c>
      <c r="H151" s="2" t="s">
        <v>33</v>
      </c>
      <c r="I151" s="4" t="s">
        <v>56</v>
      </c>
      <c r="J151" s="12" t="str">
        <f>TEXT(Data[[#This Row],[PurchaseDate]],"ddd")</f>
        <v>Thu</v>
      </c>
      <c r="K151" s="12" t="str">
        <f>TEXT(Data[[#This Row],[PurchaseDate]],"mmm")</f>
        <v>Oct</v>
      </c>
    </row>
    <row r="152" spans="1:11" x14ac:dyDescent="0.25">
      <c r="A152" s="1" t="s">
        <v>200</v>
      </c>
      <c r="B152" s="2" t="s">
        <v>54</v>
      </c>
      <c r="C152" s="2" t="s">
        <v>55</v>
      </c>
      <c r="D152" s="2">
        <v>10</v>
      </c>
      <c r="E152" s="2">
        <v>32.96</v>
      </c>
      <c r="F152" s="2">
        <v>329.6</v>
      </c>
      <c r="G152" s="3">
        <v>45855</v>
      </c>
      <c r="H152" s="2" t="s">
        <v>33</v>
      </c>
      <c r="I152" s="4" t="s">
        <v>36</v>
      </c>
      <c r="J152" s="12" t="str">
        <f>TEXT(Data[[#This Row],[PurchaseDate]],"ddd")</f>
        <v>Thu</v>
      </c>
      <c r="K152" s="12" t="str">
        <f>TEXT(Data[[#This Row],[PurchaseDate]],"mmm")</f>
        <v>Jul</v>
      </c>
    </row>
    <row r="153" spans="1:11" x14ac:dyDescent="0.25">
      <c r="A153" s="1" t="s">
        <v>201</v>
      </c>
      <c r="B153" s="2" t="s">
        <v>19</v>
      </c>
      <c r="C153" s="2" t="s">
        <v>20</v>
      </c>
      <c r="D153" s="2">
        <v>1</v>
      </c>
      <c r="E153" s="2">
        <v>9331.61</v>
      </c>
      <c r="F153" s="2">
        <v>9331.61</v>
      </c>
      <c r="G153" s="3">
        <v>45870</v>
      </c>
      <c r="H153" s="2" t="s">
        <v>24</v>
      </c>
      <c r="I153" s="4" t="s">
        <v>64</v>
      </c>
      <c r="J153" s="12" t="str">
        <f>TEXT(Data[[#This Row],[PurchaseDate]],"ddd")</f>
        <v>Fri</v>
      </c>
      <c r="K153" s="12" t="str">
        <f>TEXT(Data[[#This Row],[PurchaseDate]],"mmm")</f>
        <v>Aug</v>
      </c>
    </row>
    <row r="154" spans="1:11" x14ac:dyDescent="0.25">
      <c r="A154" s="1" t="s">
        <v>202</v>
      </c>
      <c r="B154" s="2" t="s">
        <v>60</v>
      </c>
      <c r="C154" s="2" t="s">
        <v>30</v>
      </c>
      <c r="D154" s="2">
        <v>2</v>
      </c>
      <c r="E154" s="2">
        <v>917.39</v>
      </c>
      <c r="F154" s="2">
        <v>1834.78</v>
      </c>
      <c r="G154" s="3">
        <v>45883</v>
      </c>
      <c r="H154" s="2" t="s">
        <v>17</v>
      </c>
      <c r="I154" s="4" t="s">
        <v>83</v>
      </c>
      <c r="J154" s="12" t="str">
        <f>TEXT(Data[[#This Row],[PurchaseDate]],"ddd")</f>
        <v>Thu</v>
      </c>
      <c r="K154" s="12" t="str">
        <f>TEXT(Data[[#This Row],[PurchaseDate]],"mmm")</f>
        <v>Aug</v>
      </c>
    </row>
    <row r="155" spans="1:11" x14ac:dyDescent="0.25">
      <c r="A155" s="1" t="s">
        <v>203</v>
      </c>
      <c r="B155" s="2" t="s">
        <v>54</v>
      </c>
      <c r="C155" s="2" t="s">
        <v>55</v>
      </c>
      <c r="D155" s="2">
        <v>15</v>
      </c>
      <c r="E155" s="2">
        <v>21.46</v>
      </c>
      <c r="F155" s="2">
        <v>321.89999999999998</v>
      </c>
      <c r="G155" s="3">
        <v>45858</v>
      </c>
      <c r="H155" s="2" t="s">
        <v>17</v>
      </c>
      <c r="I155" s="4" t="s">
        <v>96</v>
      </c>
      <c r="J155" s="12" t="str">
        <f>TEXT(Data[[#This Row],[PurchaseDate]],"ddd")</f>
        <v>Sun</v>
      </c>
      <c r="K155" s="12" t="str">
        <f>TEXT(Data[[#This Row],[PurchaseDate]],"mmm")</f>
        <v>Jul</v>
      </c>
    </row>
    <row r="156" spans="1:11" x14ac:dyDescent="0.25">
      <c r="A156" s="1" t="s">
        <v>204</v>
      </c>
      <c r="B156" s="2" t="s">
        <v>54</v>
      </c>
      <c r="C156" s="2" t="s">
        <v>55</v>
      </c>
      <c r="D156" s="2">
        <v>11</v>
      </c>
      <c r="E156" s="2">
        <v>25.81</v>
      </c>
      <c r="F156" s="2">
        <v>283.91000000000003</v>
      </c>
      <c r="G156" s="3">
        <v>45729</v>
      </c>
      <c r="H156" s="2" t="s">
        <v>12</v>
      </c>
      <c r="I156" s="4" t="s">
        <v>34</v>
      </c>
      <c r="J156" s="12" t="str">
        <f>TEXT(Data[[#This Row],[PurchaseDate]],"ddd")</f>
        <v>Thu</v>
      </c>
      <c r="K156" s="12" t="str">
        <f>TEXT(Data[[#This Row],[PurchaseDate]],"mmm")</f>
        <v>Mar</v>
      </c>
    </row>
    <row r="157" spans="1:11" x14ac:dyDescent="0.25">
      <c r="A157" s="1" t="s">
        <v>205</v>
      </c>
      <c r="B157" s="2" t="s">
        <v>38</v>
      </c>
      <c r="C157" s="2" t="s">
        <v>23</v>
      </c>
      <c r="D157" s="2">
        <v>2</v>
      </c>
      <c r="E157" s="2">
        <v>13.97</v>
      </c>
      <c r="F157" s="2">
        <v>27.94</v>
      </c>
      <c r="G157" s="3">
        <v>45806</v>
      </c>
      <c r="H157" s="2" t="s">
        <v>24</v>
      </c>
      <c r="I157" s="4" t="s">
        <v>94</v>
      </c>
      <c r="J157" s="12" t="str">
        <f>TEXT(Data[[#This Row],[PurchaseDate]],"ddd")</f>
        <v>Thu</v>
      </c>
      <c r="K157" s="12" t="str">
        <f>TEXT(Data[[#This Row],[PurchaseDate]],"mmm")</f>
        <v>May</v>
      </c>
    </row>
    <row r="158" spans="1:11" x14ac:dyDescent="0.25">
      <c r="A158" s="1" t="s">
        <v>206</v>
      </c>
      <c r="B158" s="2" t="s">
        <v>19</v>
      </c>
      <c r="C158" s="2" t="s">
        <v>20</v>
      </c>
      <c r="D158" s="2">
        <v>1</v>
      </c>
      <c r="E158" s="2">
        <v>9193.59</v>
      </c>
      <c r="F158" s="2">
        <v>9193.59</v>
      </c>
      <c r="G158" s="3">
        <v>45865</v>
      </c>
      <c r="H158" s="2" t="s">
        <v>33</v>
      </c>
      <c r="I158" s="4" t="s">
        <v>45</v>
      </c>
      <c r="J158" s="12" t="str">
        <f>TEXT(Data[[#This Row],[PurchaseDate]],"ddd")</f>
        <v>Sun</v>
      </c>
      <c r="K158" s="12" t="str">
        <f>TEXT(Data[[#This Row],[PurchaseDate]],"mmm")</f>
        <v>Jul</v>
      </c>
    </row>
    <row r="159" spans="1:11" x14ac:dyDescent="0.25">
      <c r="A159" s="1" t="s">
        <v>207</v>
      </c>
      <c r="B159" s="2" t="s">
        <v>22</v>
      </c>
      <c r="C159" s="2" t="s">
        <v>23</v>
      </c>
      <c r="D159" s="2">
        <v>16</v>
      </c>
      <c r="E159" s="2">
        <v>1.71</v>
      </c>
      <c r="F159" s="2">
        <v>27.36</v>
      </c>
      <c r="G159" s="3">
        <v>45722</v>
      </c>
      <c r="H159" s="2" t="s">
        <v>17</v>
      </c>
      <c r="I159" s="4" t="s">
        <v>13</v>
      </c>
      <c r="J159" s="12" t="str">
        <f>TEXT(Data[[#This Row],[PurchaseDate]],"ddd")</f>
        <v>Thu</v>
      </c>
      <c r="K159" s="12" t="str">
        <f>TEXT(Data[[#This Row],[PurchaseDate]],"mmm")</f>
        <v>Mar</v>
      </c>
    </row>
    <row r="160" spans="1:11" x14ac:dyDescent="0.25">
      <c r="A160" s="1" t="s">
        <v>208</v>
      </c>
      <c r="B160" s="2" t="s">
        <v>29</v>
      </c>
      <c r="C160" s="2" t="s">
        <v>30</v>
      </c>
      <c r="D160" s="2">
        <v>3</v>
      </c>
      <c r="E160" s="2">
        <v>291.77999999999997</v>
      </c>
      <c r="F160" s="2">
        <v>875.34</v>
      </c>
      <c r="G160" s="3">
        <v>45691</v>
      </c>
      <c r="H160" s="2" t="s">
        <v>33</v>
      </c>
      <c r="I160" s="4" t="s">
        <v>49</v>
      </c>
      <c r="J160" s="12" t="str">
        <f>TEXT(Data[[#This Row],[PurchaseDate]],"ddd")</f>
        <v>Mon</v>
      </c>
      <c r="K160" s="12" t="str">
        <f>TEXT(Data[[#This Row],[PurchaseDate]],"mmm")</f>
        <v>Feb</v>
      </c>
    </row>
    <row r="161" spans="1:11" x14ac:dyDescent="0.25">
      <c r="A161" s="1" t="s">
        <v>209</v>
      </c>
      <c r="B161" s="2" t="s">
        <v>10</v>
      </c>
      <c r="C161" s="2" t="s">
        <v>11</v>
      </c>
      <c r="D161" s="2">
        <v>18</v>
      </c>
      <c r="E161" s="2">
        <v>121.29</v>
      </c>
      <c r="F161" s="2">
        <v>2183.2199999999998</v>
      </c>
      <c r="G161" s="3">
        <v>45770</v>
      </c>
      <c r="H161" s="2" t="s">
        <v>33</v>
      </c>
      <c r="I161" s="4" t="s">
        <v>36</v>
      </c>
      <c r="J161" s="12" t="str">
        <f>TEXT(Data[[#This Row],[PurchaseDate]],"ddd")</f>
        <v>Wed</v>
      </c>
      <c r="K161" s="12" t="str">
        <f>TEXT(Data[[#This Row],[PurchaseDate]],"mmm")</f>
        <v>Apr</v>
      </c>
    </row>
    <row r="162" spans="1:11" x14ac:dyDescent="0.25">
      <c r="A162" s="1" t="s">
        <v>210</v>
      </c>
      <c r="B162" s="2" t="s">
        <v>15</v>
      </c>
      <c r="C162" s="2" t="s">
        <v>16</v>
      </c>
      <c r="D162" s="2">
        <v>6</v>
      </c>
      <c r="E162" s="2">
        <v>6.38</v>
      </c>
      <c r="F162" s="2">
        <v>38.28</v>
      </c>
      <c r="G162" s="3">
        <v>45752</v>
      </c>
      <c r="H162" s="2" t="s">
        <v>33</v>
      </c>
      <c r="I162" s="4" t="s">
        <v>56</v>
      </c>
      <c r="J162" s="12" t="str">
        <f>TEXT(Data[[#This Row],[PurchaseDate]],"ddd")</f>
        <v>Sat</v>
      </c>
      <c r="K162" s="12" t="str">
        <f>TEXT(Data[[#This Row],[PurchaseDate]],"mmm")</f>
        <v>Apr</v>
      </c>
    </row>
    <row r="163" spans="1:11" x14ac:dyDescent="0.25">
      <c r="A163" s="1" t="s">
        <v>211</v>
      </c>
      <c r="B163" s="2" t="s">
        <v>15</v>
      </c>
      <c r="C163" s="2" t="s">
        <v>16</v>
      </c>
      <c r="D163" s="2">
        <v>11</v>
      </c>
      <c r="E163" s="2">
        <v>9.93</v>
      </c>
      <c r="F163" s="2">
        <v>109.23</v>
      </c>
      <c r="G163" s="3">
        <v>45821</v>
      </c>
      <c r="H163" s="2" t="s">
        <v>43</v>
      </c>
      <c r="I163" s="4" t="s">
        <v>56</v>
      </c>
      <c r="J163" s="12" t="str">
        <f>TEXT(Data[[#This Row],[PurchaseDate]],"ddd")</f>
        <v>Fri</v>
      </c>
      <c r="K163" s="12" t="str">
        <f>TEXT(Data[[#This Row],[PurchaseDate]],"mmm")</f>
        <v>Jun</v>
      </c>
    </row>
    <row r="164" spans="1:11" x14ac:dyDescent="0.25">
      <c r="A164" s="1" t="s">
        <v>212</v>
      </c>
      <c r="B164" s="2" t="s">
        <v>38</v>
      </c>
      <c r="C164" s="2" t="s">
        <v>23</v>
      </c>
      <c r="D164" s="2">
        <v>6</v>
      </c>
      <c r="E164" s="2">
        <v>19.54</v>
      </c>
      <c r="F164" s="2">
        <v>117.24</v>
      </c>
      <c r="G164" s="3">
        <v>45968</v>
      </c>
      <c r="H164" s="2" t="s">
        <v>33</v>
      </c>
      <c r="I164" s="4" t="s">
        <v>25</v>
      </c>
      <c r="J164" s="12" t="str">
        <f>TEXT(Data[[#This Row],[PurchaseDate]],"ddd")</f>
        <v>Fri</v>
      </c>
      <c r="K164" s="12" t="str">
        <f>TEXT(Data[[#This Row],[PurchaseDate]],"mmm")</f>
        <v>Nov</v>
      </c>
    </row>
    <row r="165" spans="1:11" x14ac:dyDescent="0.25">
      <c r="A165" s="1" t="s">
        <v>213</v>
      </c>
      <c r="B165" s="2" t="s">
        <v>19</v>
      </c>
      <c r="C165" s="2" t="s">
        <v>20</v>
      </c>
      <c r="D165" s="2">
        <v>1</v>
      </c>
      <c r="E165" s="2">
        <v>5335.46</v>
      </c>
      <c r="F165" s="2">
        <v>5335.46</v>
      </c>
      <c r="G165" s="3">
        <v>45806</v>
      </c>
      <c r="H165" s="2" t="s">
        <v>33</v>
      </c>
      <c r="I165" s="4" t="s">
        <v>83</v>
      </c>
      <c r="J165" s="12" t="str">
        <f>TEXT(Data[[#This Row],[PurchaseDate]],"ddd")</f>
        <v>Thu</v>
      </c>
      <c r="K165" s="12" t="str">
        <f>TEXT(Data[[#This Row],[PurchaseDate]],"mmm")</f>
        <v>May</v>
      </c>
    </row>
    <row r="166" spans="1:11" x14ac:dyDescent="0.25">
      <c r="A166" s="1" t="s">
        <v>214</v>
      </c>
      <c r="B166" s="2" t="s">
        <v>29</v>
      </c>
      <c r="C166" s="2" t="s">
        <v>30</v>
      </c>
      <c r="D166" s="2">
        <v>6</v>
      </c>
      <c r="E166" s="2">
        <v>182.93</v>
      </c>
      <c r="F166" s="2">
        <v>1097.58</v>
      </c>
      <c r="G166" s="3">
        <v>45814</v>
      </c>
      <c r="H166" s="2" t="s">
        <v>17</v>
      </c>
      <c r="I166" s="4" t="s">
        <v>34</v>
      </c>
      <c r="J166" s="12" t="str">
        <f>TEXT(Data[[#This Row],[PurchaseDate]],"ddd")</f>
        <v>Fri</v>
      </c>
      <c r="K166" s="12" t="str">
        <f>TEXT(Data[[#This Row],[PurchaseDate]],"mmm")</f>
        <v>Jun</v>
      </c>
    </row>
    <row r="167" spans="1:11" x14ac:dyDescent="0.25">
      <c r="A167" s="1" t="s">
        <v>215</v>
      </c>
      <c r="B167" s="2" t="s">
        <v>60</v>
      </c>
      <c r="C167" s="2" t="s">
        <v>30</v>
      </c>
      <c r="D167" s="2">
        <v>4</v>
      </c>
      <c r="E167" s="2">
        <v>955.86</v>
      </c>
      <c r="F167" s="2">
        <v>3823.44</v>
      </c>
      <c r="G167" s="3">
        <v>45789</v>
      </c>
      <c r="H167" s="2" t="s">
        <v>17</v>
      </c>
      <c r="I167" s="4" t="s">
        <v>133</v>
      </c>
      <c r="J167" s="12" t="str">
        <f>TEXT(Data[[#This Row],[PurchaseDate]],"ddd")</f>
        <v>Mon</v>
      </c>
      <c r="K167" s="12" t="str">
        <f>TEXT(Data[[#This Row],[PurchaseDate]],"mmm")</f>
        <v>May</v>
      </c>
    </row>
    <row r="168" spans="1:11" x14ac:dyDescent="0.25">
      <c r="A168" s="1" t="s">
        <v>216</v>
      </c>
      <c r="B168" s="2" t="s">
        <v>54</v>
      </c>
      <c r="C168" s="2" t="s">
        <v>55</v>
      </c>
      <c r="D168" s="2">
        <v>7</v>
      </c>
      <c r="E168" s="2">
        <v>35.33</v>
      </c>
      <c r="F168" s="2">
        <v>247.31</v>
      </c>
      <c r="G168" s="3">
        <v>45877</v>
      </c>
      <c r="H168" s="2" t="s">
        <v>17</v>
      </c>
      <c r="I168" s="4" t="s">
        <v>49</v>
      </c>
      <c r="J168" s="12" t="str">
        <f>TEXT(Data[[#This Row],[PurchaseDate]],"ddd")</f>
        <v>Fri</v>
      </c>
      <c r="K168" s="12" t="str">
        <f>TEXT(Data[[#This Row],[PurchaseDate]],"mmm")</f>
        <v>Aug</v>
      </c>
    </row>
    <row r="169" spans="1:11" x14ac:dyDescent="0.25">
      <c r="A169" s="1" t="s">
        <v>217</v>
      </c>
      <c r="B169" s="2" t="s">
        <v>54</v>
      </c>
      <c r="C169" s="2" t="s">
        <v>55</v>
      </c>
      <c r="D169" s="2">
        <v>7</v>
      </c>
      <c r="E169" s="2">
        <v>42.79</v>
      </c>
      <c r="F169" s="2">
        <v>299.52999999999997</v>
      </c>
      <c r="G169" s="3">
        <v>45812</v>
      </c>
      <c r="H169" s="2" t="s">
        <v>43</v>
      </c>
      <c r="I169" s="4" t="s">
        <v>49</v>
      </c>
      <c r="J169" s="12" t="str">
        <f>TEXT(Data[[#This Row],[PurchaseDate]],"ddd")</f>
        <v>Wed</v>
      </c>
      <c r="K169" s="12" t="str">
        <f>TEXT(Data[[#This Row],[PurchaseDate]],"mmm")</f>
        <v>Jun</v>
      </c>
    </row>
    <row r="170" spans="1:11" x14ac:dyDescent="0.25">
      <c r="A170" s="1" t="s">
        <v>218</v>
      </c>
      <c r="B170" s="2" t="s">
        <v>52</v>
      </c>
      <c r="C170" s="2" t="s">
        <v>30</v>
      </c>
      <c r="D170" s="2">
        <v>9</v>
      </c>
      <c r="E170" s="2">
        <v>285.63</v>
      </c>
      <c r="F170" s="2">
        <v>2570.67</v>
      </c>
      <c r="G170" s="3">
        <v>45988</v>
      </c>
      <c r="H170" s="2" t="s">
        <v>12</v>
      </c>
      <c r="I170" s="4" t="s">
        <v>96</v>
      </c>
      <c r="J170" s="12" t="str">
        <f>TEXT(Data[[#This Row],[PurchaseDate]],"ddd")</f>
        <v>Thu</v>
      </c>
      <c r="K170" s="12" t="str">
        <f>TEXT(Data[[#This Row],[PurchaseDate]],"mmm")</f>
        <v>Nov</v>
      </c>
    </row>
    <row r="171" spans="1:11" x14ac:dyDescent="0.25">
      <c r="A171" s="1" t="s">
        <v>219</v>
      </c>
      <c r="B171" s="2" t="s">
        <v>60</v>
      </c>
      <c r="C171" s="2" t="s">
        <v>30</v>
      </c>
      <c r="D171" s="2">
        <v>6</v>
      </c>
      <c r="E171" s="2">
        <v>941.67</v>
      </c>
      <c r="F171" s="2">
        <v>5650.02</v>
      </c>
      <c r="G171" s="3">
        <v>45744</v>
      </c>
      <c r="H171" s="2" t="s">
        <v>17</v>
      </c>
      <c r="I171" s="4" t="s">
        <v>45</v>
      </c>
      <c r="J171" s="12" t="str">
        <f>TEXT(Data[[#This Row],[PurchaseDate]],"ddd")</f>
        <v>Fri</v>
      </c>
      <c r="K171" s="12" t="str">
        <f>TEXT(Data[[#This Row],[PurchaseDate]],"mmm")</f>
        <v>Mar</v>
      </c>
    </row>
    <row r="172" spans="1:11" x14ac:dyDescent="0.25">
      <c r="A172" s="1" t="s">
        <v>220</v>
      </c>
      <c r="B172" s="2" t="s">
        <v>10</v>
      </c>
      <c r="C172" s="2" t="s">
        <v>11</v>
      </c>
      <c r="D172" s="2">
        <v>3</v>
      </c>
      <c r="E172" s="2">
        <v>117.51</v>
      </c>
      <c r="F172" s="2">
        <v>352.53</v>
      </c>
      <c r="G172" s="3">
        <v>45768</v>
      </c>
      <c r="H172" s="2" t="s">
        <v>33</v>
      </c>
      <c r="I172" s="4" t="s">
        <v>49</v>
      </c>
      <c r="J172" s="12" t="str">
        <f>TEXT(Data[[#This Row],[PurchaseDate]],"ddd")</f>
        <v>Mon</v>
      </c>
      <c r="K172" s="12" t="str">
        <f>TEXT(Data[[#This Row],[PurchaseDate]],"mmm")</f>
        <v>Apr</v>
      </c>
    </row>
    <row r="173" spans="1:11" x14ac:dyDescent="0.25">
      <c r="A173" s="1" t="s">
        <v>221</v>
      </c>
      <c r="B173" s="2" t="s">
        <v>10</v>
      </c>
      <c r="C173" s="2" t="s">
        <v>11</v>
      </c>
      <c r="D173" s="2">
        <v>6</v>
      </c>
      <c r="E173" s="2">
        <v>168.75</v>
      </c>
      <c r="F173" s="2">
        <v>1012.5</v>
      </c>
      <c r="G173" s="3">
        <v>45858</v>
      </c>
      <c r="H173" s="2" t="s">
        <v>43</v>
      </c>
      <c r="I173" s="4" t="s">
        <v>27</v>
      </c>
      <c r="J173" s="12" t="str">
        <f>TEXT(Data[[#This Row],[PurchaseDate]],"ddd")</f>
        <v>Sun</v>
      </c>
      <c r="K173" s="12" t="str">
        <f>TEXT(Data[[#This Row],[PurchaseDate]],"mmm")</f>
        <v>Jul</v>
      </c>
    </row>
    <row r="174" spans="1:11" x14ac:dyDescent="0.25">
      <c r="A174" s="1" t="s">
        <v>222</v>
      </c>
      <c r="B174" s="2" t="s">
        <v>10</v>
      </c>
      <c r="C174" s="2" t="s">
        <v>11</v>
      </c>
      <c r="D174" s="2">
        <v>14</v>
      </c>
      <c r="E174" s="2">
        <v>128.44</v>
      </c>
      <c r="F174" s="2">
        <v>1798.16</v>
      </c>
      <c r="G174" s="3">
        <v>45815</v>
      </c>
      <c r="H174" s="2" t="s">
        <v>24</v>
      </c>
      <c r="I174" s="4" t="s">
        <v>56</v>
      </c>
      <c r="J174" s="12" t="str">
        <f>TEXT(Data[[#This Row],[PurchaseDate]],"ddd")</f>
        <v>Sat</v>
      </c>
      <c r="K174" s="12" t="str">
        <f>TEXT(Data[[#This Row],[PurchaseDate]],"mmm")</f>
        <v>Jun</v>
      </c>
    </row>
    <row r="175" spans="1:11" x14ac:dyDescent="0.25">
      <c r="A175" s="1" t="s">
        <v>223</v>
      </c>
      <c r="B175" s="2" t="s">
        <v>54</v>
      </c>
      <c r="C175" s="2" t="s">
        <v>55</v>
      </c>
      <c r="D175" s="2">
        <v>10</v>
      </c>
      <c r="E175" s="2">
        <v>40.54</v>
      </c>
      <c r="F175" s="2">
        <v>405.4</v>
      </c>
      <c r="G175" s="3">
        <v>45927</v>
      </c>
      <c r="H175" s="2" t="s">
        <v>33</v>
      </c>
      <c r="I175" s="4" t="s">
        <v>58</v>
      </c>
      <c r="J175" s="12" t="str">
        <f>TEXT(Data[[#This Row],[PurchaseDate]],"ddd")</f>
        <v>Sat</v>
      </c>
      <c r="K175" s="12" t="str">
        <f>TEXT(Data[[#This Row],[PurchaseDate]],"mmm")</f>
        <v>Sep</v>
      </c>
    </row>
    <row r="176" spans="1:11" x14ac:dyDescent="0.25">
      <c r="A176" s="1" t="s">
        <v>224</v>
      </c>
      <c r="B176" s="2" t="s">
        <v>19</v>
      </c>
      <c r="C176" s="2" t="s">
        <v>20</v>
      </c>
      <c r="D176" s="2">
        <v>1</v>
      </c>
      <c r="E176" s="2">
        <v>9836.5300000000007</v>
      </c>
      <c r="F176" s="2">
        <v>9836.5300000000007</v>
      </c>
      <c r="G176" s="3">
        <v>45987</v>
      </c>
      <c r="H176" s="2" t="s">
        <v>12</v>
      </c>
      <c r="I176" s="4" t="s">
        <v>56</v>
      </c>
      <c r="J176" s="12" t="str">
        <f>TEXT(Data[[#This Row],[PurchaseDate]],"ddd")</f>
        <v>Wed</v>
      </c>
      <c r="K176" s="12" t="str">
        <f>TEXT(Data[[#This Row],[PurchaseDate]],"mmm")</f>
        <v>Nov</v>
      </c>
    </row>
    <row r="177" spans="1:11" x14ac:dyDescent="0.25">
      <c r="A177" s="1" t="s">
        <v>225</v>
      </c>
      <c r="B177" s="2" t="s">
        <v>52</v>
      </c>
      <c r="C177" s="2" t="s">
        <v>30</v>
      </c>
      <c r="D177" s="2">
        <v>12</v>
      </c>
      <c r="E177" s="2">
        <v>333.18</v>
      </c>
      <c r="F177" s="2">
        <v>3998.16</v>
      </c>
      <c r="G177" s="3">
        <v>46014</v>
      </c>
      <c r="H177" s="2" t="s">
        <v>12</v>
      </c>
      <c r="I177" s="4" t="s">
        <v>85</v>
      </c>
      <c r="J177" s="12" t="str">
        <f>TEXT(Data[[#This Row],[PurchaseDate]],"ddd")</f>
        <v>Tue</v>
      </c>
      <c r="K177" s="12" t="str">
        <f>TEXT(Data[[#This Row],[PurchaseDate]],"mmm")</f>
        <v>Dec</v>
      </c>
    </row>
    <row r="178" spans="1:11" x14ac:dyDescent="0.25">
      <c r="A178" s="1" t="s">
        <v>226</v>
      </c>
      <c r="B178" s="2" t="s">
        <v>22</v>
      </c>
      <c r="C178" s="2" t="s">
        <v>23</v>
      </c>
      <c r="D178" s="2">
        <v>17</v>
      </c>
      <c r="E178" s="2">
        <v>1.86</v>
      </c>
      <c r="F178" s="2">
        <v>31.62</v>
      </c>
      <c r="G178" s="3">
        <v>45971</v>
      </c>
      <c r="H178" s="2" t="s">
        <v>17</v>
      </c>
      <c r="I178" s="4" t="s">
        <v>79</v>
      </c>
      <c r="J178" s="12" t="str">
        <f>TEXT(Data[[#This Row],[PurchaseDate]],"ddd")</f>
        <v>Mon</v>
      </c>
      <c r="K178" s="12" t="str">
        <f>TEXT(Data[[#This Row],[PurchaseDate]],"mmm")</f>
        <v>Nov</v>
      </c>
    </row>
    <row r="179" spans="1:11" x14ac:dyDescent="0.25">
      <c r="A179" s="1" t="s">
        <v>227</v>
      </c>
      <c r="B179" s="2" t="s">
        <v>15</v>
      </c>
      <c r="C179" s="2" t="s">
        <v>16</v>
      </c>
      <c r="D179" s="2">
        <v>15</v>
      </c>
      <c r="E179" s="2">
        <v>6.83</v>
      </c>
      <c r="F179" s="2">
        <v>102.45</v>
      </c>
      <c r="G179" s="3">
        <v>45727</v>
      </c>
      <c r="H179" s="2" t="s">
        <v>43</v>
      </c>
      <c r="I179" s="4" t="s">
        <v>58</v>
      </c>
      <c r="J179" s="12" t="str">
        <f>TEXT(Data[[#This Row],[PurchaseDate]],"ddd")</f>
        <v>Tue</v>
      </c>
      <c r="K179" s="12" t="str">
        <f>TEXT(Data[[#This Row],[PurchaseDate]],"mmm")</f>
        <v>Mar</v>
      </c>
    </row>
    <row r="180" spans="1:11" x14ac:dyDescent="0.25">
      <c r="A180" s="1" t="s">
        <v>228</v>
      </c>
      <c r="B180" s="2" t="s">
        <v>41</v>
      </c>
      <c r="C180" s="2" t="s">
        <v>11</v>
      </c>
      <c r="D180" s="2">
        <v>4</v>
      </c>
      <c r="E180" s="2">
        <v>132.46</v>
      </c>
      <c r="F180" s="2">
        <v>529.84</v>
      </c>
      <c r="G180" s="3">
        <v>46004</v>
      </c>
      <c r="H180" s="2" t="s">
        <v>17</v>
      </c>
      <c r="I180" s="4" t="s">
        <v>31</v>
      </c>
      <c r="J180" s="12" t="str">
        <f>TEXT(Data[[#This Row],[PurchaseDate]],"ddd")</f>
        <v>Sat</v>
      </c>
      <c r="K180" s="12" t="str">
        <f>TEXT(Data[[#This Row],[PurchaseDate]],"mmm")</f>
        <v>Dec</v>
      </c>
    </row>
    <row r="181" spans="1:11" x14ac:dyDescent="0.25">
      <c r="A181" s="1" t="s">
        <v>229</v>
      </c>
      <c r="B181" s="2" t="s">
        <v>60</v>
      </c>
      <c r="C181" s="2" t="s">
        <v>30</v>
      </c>
      <c r="D181" s="2">
        <v>8</v>
      </c>
      <c r="E181" s="2">
        <v>851.63</v>
      </c>
      <c r="F181" s="2">
        <v>6813.04</v>
      </c>
      <c r="G181" s="3">
        <v>45861</v>
      </c>
      <c r="H181" s="2" t="s">
        <v>12</v>
      </c>
      <c r="I181" s="4" t="s">
        <v>49</v>
      </c>
      <c r="J181" s="12" t="str">
        <f>TEXT(Data[[#This Row],[PurchaseDate]],"ddd")</f>
        <v>Wed</v>
      </c>
      <c r="K181" s="12" t="str">
        <f>TEXT(Data[[#This Row],[PurchaseDate]],"mmm")</f>
        <v>Jul</v>
      </c>
    </row>
    <row r="182" spans="1:11" x14ac:dyDescent="0.25">
      <c r="A182" s="1" t="s">
        <v>230</v>
      </c>
      <c r="B182" s="2" t="s">
        <v>60</v>
      </c>
      <c r="C182" s="2" t="s">
        <v>30</v>
      </c>
      <c r="D182" s="2">
        <v>8</v>
      </c>
      <c r="E182" s="2">
        <v>840.47</v>
      </c>
      <c r="F182" s="2">
        <v>6723.76</v>
      </c>
      <c r="G182" s="3">
        <v>45987</v>
      </c>
      <c r="H182" s="2" t="s">
        <v>33</v>
      </c>
      <c r="I182" s="4" t="s">
        <v>47</v>
      </c>
      <c r="J182" s="12" t="str">
        <f>TEXT(Data[[#This Row],[PurchaseDate]],"ddd")</f>
        <v>Wed</v>
      </c>
      <c r="K182" s="12" t="str">
        <f>TEXT(Data[[#This Row],[PurchaseDate]],"mmm")</f>
        <v>Nov</v>
      </c>
    </row>
    <row r="183" spans="1:11" x14ac:dyDescent="0.25">
      <c r="A183" s="1" t="s">
        <v>231</v>
      </c>
      <c r="B183" s="2" t="s">
        <v>22</v>
      </c>
      <c r="C183" s="2" t="s">
        <v>23</v>
      </c>
      <c r="D183" s="2">
        <v>11</v>
      </c>
      <c r="E183" s="2">
        <v>2.1</v>
      </c>
      <c r="F183" s="2">
        <v>23.1</v>
      </c>
      <c r="G183" s="3">
        <v>45853</v>
      </c>
      <c r="H183" s="2" t="s">
        <v>24</v>
      </c>
      <c r="I183" s="4" t="s">
        <v>79</v>
      </c>
      <c r="J183" s="12" t="str">
        <f>TEXT(Data[[#This Row],[PurchaseDate]],"ddd")</f>
        <v>Tue</v>
      </c>
      <c r="K183" s="12" t="str">
        <f>TEXT(Data[[#This Row],[PurchaseDate]],"mmm")</f>
        <v>Jul</v>
      </c>
    </row>
    <row r="184" spans="1:11" x14ac:dyDescent="0.25">
      <c r="A184" s="1" t="s">
        <v>232</v>
      </c>
      <c r="B184" s="2" t="s">
        <v>10</v>
      </c>
      <c r="C184" s="2" t="s">
        <v>11</v>
      </c>
      <c r="D184" s="2">
        <v>20</v>
      </c>
      <c r="E184" s="2">
        <v>187.22</v>
      </c>
      <c r="F184" s="2">
        <v>3744.4</v>
      </c>
      <c r="G184" s="3">
        <v>45902</v>
      </c>
      <c r="H184" s="2" t="s">
        <v>24</v>
      </c>
      <c r="I184" s="4" t="s">
        <v>56</v>
      </c>
      <c r="J184" s="12" t="str">
        <f>TEXT(Data[[#This Row],[PurchaseDate]],"ddd")</f>
        <v>Tue</v>
      </c>
      <c r="K184" s="12" t="str">
        <f>TEXT(Data[[#This Row],[PurchaseDate]],"mmm")</f>
        <v>Sep</v>
      </c>
    </row>
    <row r="185" spans="1:11" x14ac:dyDescent="0.25">
      <c r="A185" s="1" t="s">
        <v>233</v>
      </c>
      <c r="B185" s="2" t="s">
        <v>19</v>
      </c>
      <c r="C185" s="2" t="s">
        <v>20</v>
      </c>
      <c r="D185" s="2">
        <v>1</v>
      </c>
      <c r="E185" s="2">
        <v>9909.24</v>
      </c>
      <c r="F185" s="2">
        <v>9909.24</v>
      </c>
      <c r="G185" s="3">
        <v>45828</v>
      </c>
      <c r="H185" s="2" t="s">
        <v>33</v>
      </c>
      <c r="I185" s="4" t="s">
        <v>96</v>
      </c>
      <c r="J185" s="12" t="str">
        <f>TEXT(Data[[#This Row],[PurchaseDate]],"ddd")</f>
        <v>Fri</v>
      </c>
      <c r="K185" s="12" t="str">
        <f>TEXT(Data[[#This Row],[PurchaseDate]],"mmm")</f>
        <v>Jun</v>
      </c>
    </row>
    <row r="186" spans="1:11" x14ac:dyDescent="0.25">
      <c r="A186" s="1" t="s">
        <v>234</v>
      </c>
      <c r="B186" s="2" t="s">
        <v>41</v>
      </c>
      <c r="C186" s="2" t="s">
        <v>11</v>
      </c>
      <c r="D186" s="2">
        <v>6</v>
      </c>
      <c r="E186" s="2">
        <v>163.03</v>
      </c>
      <c r="F186" s="2">
        <v>978.18</v>
      </c>
      <c r="G186" s="3">
        <v>45819</v>
      </c>
      <c r="H186" s="2" t="s">
        <v>24</v>
      </c>
      <c r="I186" s="4" t="s">
        <v>69</v>
      </c>
      <c r="J186" s="12" t="str">
        <f>TEXT(Data[[#This Row],[PurchaseDate]],"ddd")</f>
        <v>Wed</v>
      </c>
      <c r="K186" s="12" t="str">
        <f>TEXT(Data[[#This Row],[PurchaseDate]],"mmm")</f>
        <v>Jun</v>
      </c>
    </row>
    <row r="187" spans="1:11" x14ac:dyDescent="0.25">
      <c r="A187" s="1" t="s">
        <v>235</v>
      </c>
      <c r="B187" s="2" t="s">
        <v>22</v>
      </c>
      <c r="C187" s="2" t="s">
        <v>23</v>
      </c>
      <c r="D187" s="2">
        <v>13</v>
      </c>
      <c r="E187" s="2">
        <v>2.5299999999999998</v>
      </c>
      <c r="F187" s="2">
        <v>32.89</v>
      </c>
      <c r="G187" s="3">
        <v>45929</v>
      </c>
      <c r="H187" s="2" t="s">
        <v>24</v>
      </c>
      <c r="I187" s="4" t="s">
        <v>83</v>
      </c>
      <c r="J187" s="12" t="str">
        <f>TEXT(Data[[#This Row],[PurchaseDate]],"ddd")</f>
        <v>Mon</v>
      </c>
      <c r="K187" s="12" t="str">
        <f>TEXT(Data[[#This Row],[PurchaseDate]],"mmm")</f>
        <v>Sep</v>
      </c>
    </row>
    <row r="188" spans="1:11" x14ac:dyDescent="0.25">
      <c r="A188" s="1" t="s">
        <v>236</v>
      </c>
      <c r="B188" s="2" t="s">
        <v>52</v>
      </c>
      <c r="C188" s="2" t="s">
        <v>30</v>
      </c>
      <c r="D188" s="2">
        <v>11</v>
      </c>
      <c r="E188" s="2">
        <v>346.16</v>
      </c>
      <c r="F188" s="2">
        <v>3807.76</v>
      </c>
      <c r="G188" s="3">
        <v>45718</v>
      </c>
      <c r="H188" s="2" t="s">
        <v>17</v>
      </c>
      <c r="I188" s="4" t="s">
        <v>56</v>
      </c>
      <c r="J188" s="12" t="str">
        <f>TEXT(Data[[#This Row],[PurchaseDate]],"ddd")</f>
        <v>Sun</v>
      </c>
      <c r="K188" s="12" t="str">
        <f>TEXT(Data[[#This Row],[PurchaseDate]],"mmm")</f>
        <v>Mar</v>
      </c>
    </row>
    <row r="189" spans="1:11" x14ac:dyDescent="0.25">
      <c r="A189" s="1" t="s">
        <v>237</v>
      </c>
      <c r="B189" s="2" t="s">
        <v>41</v>
      </c>
      <c r="C189" s="2" t="s">
        <v>11</v>
      </c>
      <c r="D189" s="2">
        <v>18</v>
      </c>
      <c r="E189" s="2">
        <v>165.31</v>
      </c>
      <c r="F189" s="2">
        <v>2975.58</v>
      </c>
      <c r="G189" s="3">
        <v>45773</v>
      </c>
      <c r="H189" s="2" t="s">
        <v>33</v>
      </c>
      <c r="I189" s="4" t="s">
        <v>45</v>
      </c>
      <c r="J189" s="12" t="str">
        <f>TEXT(Data[[#This Row],[PurchaseDate]],"ddd")</f>
        <v>Sat</v>
      </c>
      <c r="K189" s="12" t="str">
        <f>TEXT(Data[[#This Row],[PurchaseDate]],"mmm")</f>
        <v>Apr</v>
      </c>
    </row>
    <row r="190" spans="1:11" x14ac:dyDescent="0.25">
      <c r="A190" s="1" t="s">
        <v>238</v>
      </c>
      <c r="B190" s="2" t="s">
        <v>52</v>
      </c>
      <c r="C190" s="2" t="s">
        <v>30</v>
      </c>
      <c r="D190" s="2">
        <v>18</v>
      </c>
      <c r="E190" s="2">
        <v>331.2</v>
      </c>
      <c r="F190" s="2">
        <v>5961.6</v>
      </c>
      <c r="G190" s="3">
        <v>45740</v>
      </c>
      <c r="H190" s="2" t="s">
        <v>43</v>
      </c>
      <c r="I190" s="4" t="s">
        <v>58</v>
      </c>
      <c r="J190" s="12" t="str">
        <f>TEXT(Data[[#This Row],[PurchaseDate]],"ddd")</f>
        <v>Mon</v>
      </c>
      <c r="K190" s="12" t="str">
        <f>TEXT(Data[[#This Row],[PurchaseDate]],"mmm")</f>
        <v>Mar</v>
      </c>
    </row>
    <row r="191" spans="1:11" x14ac:dyDescent="0.25">
      <c r="A191" s="1" t="s">
        <v>239</v>
      </c>
      <c r="B191" s="2" t="s">
        <v>22</v>
      </c>
      <c r="C191" s="2" t="s">
        <v>23</v>
      </c>
      <c r="D191" s="2">
        <v>2</v>
      </c>
      <c r="E191" s="2">
        <v>1.89</v>
      </c>
      <c r="F191" s="2">
        <v>3.78</v>
      </c>
      <c r="G191" s="3">
        <v>45677</v>
      </c>
      <c r="H191" s="2" t="s">
        <v>24</v>
      </c>
      <c r="I191" s="4" t="s">
        <v>58</v>
      </c>
      <c r="J191" s="12" t="str">
        <f>TEXT(Data[[#This Row],[PurchaseDate]],"ddd")</f>
        <v>Mon</v>
      </c>
      <c r="K191" s="12" t="str">
        <f>TEXT(Data[[#This Row],[PurchaseDate]],"mmm")</f>
        <v>Jan</v>
      </c>
    </row>
    <row r="192" spans="1:11" x14ac:dyDescent="0.25">
      <c r="A192" s="1" t="s">
        <v>240</v>
      </c>
      <c r="B192" s="2" t="s">
        <v>41</v>
      </c>
      <c r="C192" s="2" t="s">
        <v>11</v>
      </c>
      <c r="D192" s="2">
        <v>17</v>
      </c>
      <c r="E192" s="2">
        <v>153.80000000000001</v>
      </c>
      <c r="F192" s="2">
        <v>2614.6</v>
      </c>
      <c r="G192" s="3">
        <v>45796</v>
      </c>
      <c r="H192" s="2" t="s">
        <v>33</v>
      </c>
      <c r="I192" s="4" t="s">
        <v>25</v>
      </c>
      <c r="J192" s="12" t="str">
        <f>TEXT(Data[[#This Row],[PurchaseDate]],"ddd")</f>
        <v>Mon</v>
      </c>
      <c r="K192" s="12" t="str">
        <f>TEXT(Data[[#This Row],[PurchaseDate]],"mmm")</f>
        <v>May</v>
      </c>
    </row>
    <row r="193" spans="1:11" x14ac:dyDescent="0.25">
      <c r="A193" s="1" t="s">
        <v>241</v>
      </c>
      <c r="B193" s="2" t="s">
        <v>22</v>
      </c>
      <c r="C193" s="2" t="s">
        <v>23</v>
      </c>
      <c r="D193" s="2">
        <v>13</v>
      </c>
      <c r="E193" s="2">
        <v>1.06</v>
      </c>
      <c r="F193" s="2">
        <v>13.78</v>
      </c>
      <c r="G193" s="3">
        <v>45867</v>
      </c>
      <c r="H193" s="2" t="s">
        <v>17</v>
      </c>
      <c r="I193" s="4" t="s">
        <v>49</v>
      </c>
      <c r="J193" s="12" t="str">
        <f>TEXT(Data[[#This Row],[PurchaseDate]],"ddd")</f>
        <v>Tue</v>
      </c>
      <c r="K193" s="12" t="str">
        <f>TEXT(Data[[#This Row],[PurchaseDate]],"mmm")</f>
        <v>Jul</v>
      </c>
    </row>
    <row r="194" spans="1:11" x14ac:dyDescent="0.25">
      <c r="A194" s="1" t="s">
        <v>242</v>
      </c>
      <c r="B194" s="2" t="s">
        <v>54</v>
      </c>
      <c r="C194" s="2" t="s">
        <v>55</v>
      </c>
      <c r="D194" s="2">
        <v>6</v>
      </c>
      <c r="E194" s="2">
        <v>33.32</v>
      </c>
      <c r="F194" s="2">
        <v>199.92</v>
      </c>
      <c r="G194" s="3">
        <v>45693</v>
      </c>
      <c r="H194" s="2" t="s">
        <v>43</v>
      </c>
      <c r="I194" s="4" t="s">
        <v>34</v>
      </c>
      <c r="J194" s="12" t="str">
        <f>TEXT(Data[[#This Row],[PurchaseDate]],"ddd")</f>
        <v>Wed</v>
      </c>
      <c r="K194" s="12" t="str">
        <f>TEXT(Data[[#This Row],[PurchaseDate]],"mmm")</f>
        <v>Feb</v>
      </c>
    </row>
    <row r="195" spans="1:11" x14ac:dyDescent="0.25">
      <c r="A195" s="1" t="s">
        <v>243</v>
      </c>
      <c r="B195" s="2" t="s">
        <v>52</v>
      </c>
      <c r="C195" s="2" t="s">
        <v>30</v>
      </c>
      <c r="D195" s="2">
        <v>13</v>
      </c>
      <c r="E195" s="2">
        <v>307.02</v>
      </c>
      <c r="F195" s="2">
        <v>3991.26</v>
      </c>
      <c r="G195" s="3">
        <v>45727</v>
      </c>
      <c r="H195" s="2" t="s">
        <v>43</v>
      </c>
      <c r="I195" s="4" t="s">
        <v>34</v>
      </c>
      <c r="J195" s="12" t="str">
        <f>TEXT(Data[[#This Row],[PurchaseDate]],"ddd")</f>
        <v>Tue</v>
      </c>
      <c r="K195" s="12" t="str">
        <f>TEXT(Data[[#This Row],[PurchaseDate]],"mmm")</f>
        <v>Mar</v>
      </c>
    </row>
    <row r="196" spans="1:11" x14ac:dyDescent="0.25">
      <c r="A196" s="1" t="s">
        <v>244</v>
      </c>
      <c r="B196" s="2" t="s">
        <v>19</v>
      </c>
      <c r="C196" s="2" t="s">
        <v>20</v>
      </c>
      <c r="D196" s="2">
        <v>1</v>
      </c>
      <c r="E196" s="2">
        <v>8614</v>
      </c>
      <c r="F196" s="2">
        <v>8614</v>
      </c>
      <c r="G196" s="3">
        <v>45994</v>
      </c>
      <c r="H196" s="2" t="s">
        <v>33</v>
      </c>
      <c r="I196" s="4" t="s">
        <v>64</v>
      </c>
      <c r="J196" s="12" t="str">
        <f>TEXT(Data[[#This Row],[PurchaseDate]],"ddd")</f>
        <v>Wed</v>
      </c>
      <c r="K196" s="12" t="str">
        <f>TEXT(Data[[#This Row],[PurchaseDate]],"mmm")</f>
        <v>Dec</v>
      </c>
    </row>
    <row r="197" spans="1:11" x14ac:dyDescent="0.25">
      <c r="A197" s="1" t="s">
        <v>245</v>
      </c>
      <c r="B197" s="2" t="s">
        <v>41</v>
      </c>
      <c r="C197" s="2" t="s">
        <v>11</v>
      </c>
      <c r="D197" s="2">
        <v>7</v>
      </c>
      <c r="E197" s="2">
        <v>187.64</v>
      </c>
      <c r="F197" s="2">
        <v>1313.48</v>
      </c>
      <c r="G197" s="3">
        <v>45708</v>
      </c>
      <c r="H197" s="2" t="s">
        <v>17</v>
      </c>
      <c r="I197" s="4" t="s">
        <v>47</v>
      </c>
      <c r="J197" s="12" t="str">
        <f>TEXT(Data[[#This Row],[PurchaseDate]],"ddd")</f>
        <v>Thu</v>
      </c>
      <c r="K197" s="12" t="str">
        <f>TEXT(Data[[#This Row],[PurchaseDate]],"mmm")</f>
        <v>Feb</v>
      </c>
    </row>
    <row r="198" spans="1:11" x14ac:dyDescent="0.25">
      <c r="A198" s="1" t="s">
        <v>246</v>
      </c>
      <c r="B198" s="2" t="s">
        <v>15</v>
      </c>
      <c r="C198" s="2" t="s">
        <v>16</v>
      </c>
      <c r="D198" s="2">
        <v>18</v>
      </c>
      <c r="E198" s="2">
        <v>5.85</v>
      </c>
      <c r="F198" s="2">
        <v>105.3</v>
      </c>
      <c r="G198" s="3">
        <v>45875</v>
      </c>
      <c r="H198" s="2" t="s">
        <v>24</v>
      </c>
      <c r="I198" s="4" t="s">
        <v>69</v>
      </c>
      <c r="J198" s="12" t="str">
        <f>TEXT(Data[[#This Row],[PurchaseDate]],"ddd")</f>
        <v>Wed</v>
      </c>
      <c r="K198" s="12" t="str">
        <f>TEXT(Data[[#This Row],[PurchaseDate]],"mmm")</f>
        <v>Aug</v>
      </c>
    </row>
    <row r="199" spans="1:11" x14ac:dyDescent="0.25">
      <c r="A199" s="1" t="s">
        <v>247</v>
      </c>
      <c r="B199" s="2" t="s">
        <v>22</v>
      </c>
      <c r="C199" s="2" t="s">
        <v>23</v>
      </c>
      <c r="D199" s="2">
        <v>9</v>
      </c>
      <c r="E199" s="2">
        <v>2.84</v>
      </c>
      <c r="F199" s="2">
        <v>25.56</v>
      </c>
      <c r="G199" s="3">
        <v>45723</v>
      </c>
      <c r="H199" s="2" t="s">
        <v>43</v>
      </c>
      <c r="I199" s="4" t="s">
        <v>85</v>
      </c>
      <c r="J199" s="12" t="str">
        <f>TEXT(Data[[#This Row],[PurchaseDate]],"ddd")</f>
        <v>Fri</v>
      </c>
      <c r="K199" s="12" t="str">
        <f>TEXT(Data[[#This Row],[PurchaseDate]],"mmm")</f>
        <v>Mar</v>
      </c>
    </row>
    <row r="200" spans="1:11" x14ac:dyDescent="0.25">
      <c r="A200" s="1" t="s">
        <v>248</v>
      </c>
      <c r="B200" s="2" t="s">
        <v>41</v>
      </c>
      <c r="C200" s="2" t="s">
        <v>11</v>
      </c>
      <c r="D200" s="2">
        <v>19</v>
      </c>
      <c r="E200" s="2">
        <v>198.95</v>
      </c>
      <c r="F200" s="2">
        <v>3780.05</v>
      </c>
      <c r="G200" s="3">
        <v>45993</v>
      </c>
      <c r="H200" s="2" t="s">
        <v>43</v>
      </c>
      <c r="I200" s="4" t="s">
        <v>31</v>
      </c>
      <c r="J200" s="12" t="str">
        <f>TEXT(Data[[#This Row],[PurchaseDate]],"ddd")</f>
        <v>Tue</v>
      </c>
      <c r="K200" s="12" t="str">
        <f>TEXT(Data[[#This Row],[PurchaseDate]],"mmm")</f>
        <v>Dec</v>
      </c>
    </row>
    <row r="201" spans="1:11" x14ac:dyDescent="0.25">
      <c r="A201" s="1" t="s">
        <v>249</v>
      </c>
      <c r="B201" s="2" t="s">
        <v>29</v>
      </c>
      <c r="C201" s="2" t="s">
        <v>30</v>
      </c>
      <c r="D201" s="2">
        <v>20</v>
      </c>
      <c r="E201" s="2">
        <v>220.48</v>
      </c>
      <c r="F201" s="2">
        <v>4409.6000000000004</v>
      </c>
      <c r="G201" s="3">
        <v>45784</v>
      </c>
      <c r="H201" s="2" t="s">
        <v>12</v>
      </c>
      <c r="I201" s="4" t="s">
        <v>49</v>
      </c>
      <c r="J201" s="12" t="str">
        <f>TEXT(Data[[#This Row],[PurchaseDate]],"ddd")</f>
        <v>Wed</v>
      </c>
      <c r="K201" s="12" t="str">
        <f>TEXT(Data[[#This Row],[PurchaseDate]],"mmm")</f>
        <v>May</v>
      </c>
    </row>
    <row r="202" spans="1:11" x14ac:dyDescent="0.25">
      <c r="A202" s="1" t="s">
        <v>250</v>
      </c>
      <c r="B202" s="2" t="s">
        <v>15</v>
      </c>
      <c r="C202" s="2" t="s">
        <v>16</v>
      </c>
      <c r="D202" s="2">
        <v>11</v>
      </c>
      <c r="E202" s="2">
        <v>9.9</v>
      </c>
      <c r="F202" s="2">
        <v>108.9</v>
      </c>
      <c r="G202" s="3">
        <v>45763</v>
      </c>
      <c r="H202" s="2" t="s">
        <v>33</v>
      </c>
      <c r="I202" s="4" t="s">
        <v>25</v>
      </c>
      <c r="J202" s="12" t="str">
        <f>TEXT(Data[[#This Row],[PurchaseDate]],"ddd")</f>
        <v>Wed</v>
      </c>
      <c r="K202" s="12" t="str">
        <f>TEXT(Data[[#This Row],[PurchaseDate]],"mmm")</f>
        <v>Apr</v>
      </c>
    </row>
    <row r="203" spans="1:11" x14ac:dyDescent="0.25">
      <c r="A203" s="1" t="s">
        <v>251</v>
      </c>
      <c r="B203" s="2" t="s">
        <v>38</v>
      </c>
      <c r="C203" s="2" t="s">
        <v>23</v>
      </c>
      <c r="D203" s="2">
        <v>20</v>
      </c>
      <c r="E203" s="2">
        <v>10.210000000000001</v>
      </c>
      <c r="F203" s="2">
        <v>204.2</v>
      </c>
      <c r="G203" s="3">
        <v>45774</v>
      </c>
      <c r="H203" s="2" t="s">
        <v>24</v>
      </c>
      <c r="I203" s="4" t="s">
        <v>79</v>
      </c>
      <c r="J203" s="12" t="str">
        <f>TEXT(Data[[#This Row],[PurchaseDate]],"ddd")</f>
        <v>Sun</v>
      </c>
      <c r="K203" s="12" t="str">
        <f>TEXT(Data[[#This Row],[PurchaseDate]],"mmm")</f>
        <v>Apr</v>
      </c>
    </row>
    <row r="204" spans="1:11" x14ac:dyDescent="0.25">
      <c r="A204" s="1" t="s">
        <v>252</v>
      </c>
      <c r="B204" s="2" t="s">
        <v>15</v>
      </c>
      <c r="C204" s="2" t="s">
        <v>16</v>
      </c>
      <c r="D204" s="2">
        <v>15</v>
      </c>
      <c r="E204" s="2">
        <v>8.99</v>
      </c>
      <c r="F204" s="2">
        <v>134.85</v>
      </c>
      <c r="G204" s="3">
        <v>45716</v>
      </c>
      <c r="H204" s="2" t="s">
        <v>33</v>
      </c>
      <c r="I204" s="4" t="s">
        <v>36</v>
      </c>
      <c r="J204" s="12" t="str">
        <f>TEXT(Data[[#This Row],[PurchaseDate]],"ddd")</f>
        <v>Fri</v>
      </c>
      <c r="K204" s="12" t="str">
        <f>TEXT(Data[[#This Row],[PurchaseDate]],"mmm")</f>
        <v>Feb</v>
      </c>
    </row>
    <row r="205" spans="1:11" x14ac:dyDescent="0.25">
      <c r="A205" s="1" t="s">
        <v>253</v>
      </c>
      <c r="B205" s="2" t="s">
        <v>22</v>
      </c>
      <c r="C205" s="2" t="s">
        <v>23</v>
      </c>
      <c r="D205" s="2">
        <v>9</v>
      </c>
      <c r="E205" s="2">
        <v>2.2000000000000002</v>
      </c>
      <c r="F205" s="2">
        <v>19.8</v>
      </c>
      <c r="G205" s="3">
        <v>45971</v>
      </c>
      <c r="H205" s="2" t="s">
        <v>24</v>
      </c>
      <c r="I205" s="4" t="s">
        <v>64</v>
      </c>
      <c r="J205" s="12" t="str">
        <f>TEXT(Data[[#This Row],[PurchaseDate]],"ddd")</f>
        <v>Mon</v>
      </c>
      <c r="K205" s="12" t="str">
        <f>TEXT(Data[[#This Row],[PurchaseDate]],"mmm")</f>
        <v>Nov</v>
      </c>
    </row>
    <row r="206" spans="1:11" x14ac:dyDescent="0.25">
      <c r="A206" s="1" t="s">
        <v>254</v>
      </c>
      <c r="B206" s="2" t="s">
        <v>15</v>
      </c>
      <c r="C206" s="2" t="s">
        <v>16</v>
      </c>
      <c r="D206" s="2">
        <v>17</v>
      </c>
      <c r="E206" s="2">
        <v>12.61</v>
      </c>
      <c r="F206" s="2">
        <v>214.37</v>
      </c>
      <c r="G206" s="3">
        <v>45819</v>
      </c>
      <c r="H206" s="2" t="s">
        <v>43</v>
      </c>
      <c r="I206" s="4" t="s">
        <v>96</v>
      </c>
      <c r="J206" s="12" t="str">
        <f>TEXT(Data[[#This Row],[PurchaseDate]],"ddd")</f>
        <v>Wed</v>
      </c>
      <c r="K206" s="12" t="str">
        <f>TEXT(Data[[#This Row],[PurchaseDate]],"mmm")</f>
        <v>Jun</v>
      </c>
    </row>
    <row r="207" spans="1:11" x14ac:dyDescent="0.25">
      <c r="A207" s="1" t="s">
        <v>255</v>
      </c>
      <c r="B207" s="2" t="s">
        <v>41</v>
      </c>
      <c r="C207" s="2" t="s">
        <v>11</v>
      </c>
      <c r="D207" s="2">
        <v>5</v>
      </c>
      <c r="E207" s="2">
        <v>159.04</v>
      </c>
      <c r="F207" s="2">
        <v>795.2</v>
      </c>
      <c r="G207" s="3">
        <v>45769</v>
      </c>
      <c r="H207" s="2" t="s">
        <v>33</v>
      </c>
      <c r="I207" s="4" t="s">
        <v>47</v>
      </c>
      <c r="J207" s="12" t="str">
        <f>TEXT(Data[[#This Row],[PurchaseDate]],"ddd")</f>
        <v>Tue</v>
      </c>
      <c r="K207" s="12" t="str">
        <f>TEXT(Data[[#This Row],[PurchaseDate]],"mmm")</f>
        <v>Apr</v>
      </c>
    </row>
    <row r="208" spans="1:11" x14ac:dyDescent="0.25">
      <c r="A208" s="1" t="s">
        <v>256</v>
      </c>
      <c r="B208" s="2" t="s">
        <v>22</v>
      </c>
      <c r="C208" s="2" t="s">
        <v>23</v>
      </c>
      <c r="D208" s="2">
        <v>1</v>
      </c>
      <c r="E208" s="2">
        <v>2.25</v>
      </c>
      <c r="F208" s="2">
        <v>2.25</v>
      </c>
      <c r="G208" s="3">
        <v>45749</v>
      </c>
      <c r="H208" s="2" t="s">
        <v>33</v>
      </c>
      <c r="I208" s="4" t="s">
        <v>36</v>
      </c>
      <c r="J208" s="12" t="str">
        <f>TEXT(Data[[#This Row],[PurchaseDate]],"ddd")</f>
        <v>Wed</v>
      </c>
      <c r="K208" s="12" t="str">
        <f>TEXT(Data[[#This Row],[PurchaseDate]],"mmm")</f>
        <v>Apr</v>
      </c>
    </row>
    <row r="209" spans="1:11" x14ac:dyDescent="0.25">
      <c r="A209" s="1" t="s">
        <v>257</v>
      </c>
      <c r="B209" s="2" t="s">
        <v>15</v>
      </c>
      <c r="C209" s="2" t="s">
        <v>16</v>
      </c>
      <c r="D209" s="2">
        <v>10</v>
      </c>
      <c r="E209" s="2">
        <v>6.92</v>
      </c>
      <c r="F209" s="2">
        <v>69.2</v>
      </c>
      <c r="G209" s="3">
        <v>45768</v>
      </c>
      <c r="H209" s="2" t="s">
        <v>33</v>
      </c>
      <c r="I209" s="4" t="s">
        <v>85</v>
      </c>
      <c r="J209" s="12" t="str">
        <f>TEXT(Data[[#This Row],[PurchaseDate]],"ddd")</f>
        <v>Mon</v>
      </c>
      <c r="K209" s="12" t="str">
        <f>TEXT(Data[[#This Row],[PurchaseDate]],"mmm")</f>
        <v>Apr</v>
      </c>
    </row>
    <row r="210" spans="1:11" x14ac:dyDescent="0.25">
      <c r="A210" s="1" t="s">
        <v>258</v>
      </c>
      <c r="B210" s="2" t="s">
        <v>41</v>
      </c>
      <c r="C210" s="2" t="s">
        <v>11</v>
      </c>
      <c r="D210" s="2">
        <v>2</v>
      </c>
      <c r="E210" s="2">
        <v>189.27</v>
      </c>
      <c r="F210" s="2">
        <v>378.54</v>
      </c>
      <c r="G210" s="3">
        <v>45837</v>
      </c>
      <c r="H210" s="2" t="s">
        <v>33</v>
      </c>
      <c r="I210" s="4" t="s">
        <v>25</v>
      </c>
      <c r="J210" s="12" t="str">
        <f>TEXT(Data[[#This Row],[PurchaseDate]],"ddd")</f>
        <v>Sun</v>
      </c>
      <c r="K210" s="12" t="str">
        <f>TEXT(Data[[#This Row],[PurchaseDate]],"mmm")</f>
        <v>Jun</v>
      </c>
    </row>
    <row r="211" spans="1:11" x14ac:dyDescent="0.25">
      <c r="A211" s="1" t="s">
        <v>259</v>
      </c>
      <c r="B211" s="2" t="s">
        <v>60</v>
      </c>
      <c r="C211" s="2" t="s">
        <v>30</v>
      </c>
      <c r="D211" s="2">
        <v>14</v>
      </c>
      <c r="E211" s="2">
        <v>838.27</v>
      </c>
      <c r="F211" s="2">
        <v>11735.78</v>
      </c>
      <c r="G211" s="3">
        <v>45662</v>
      </c>
      <c r="H211" s="2" t="s">
        <v>17</v>
      </c>
      <c r="I211" s="4" t="s">
        <v>27</v>
      </c>
      <c r="J211" s="12" t="str">
        <f>TEXT(Data[[#This Row],[PurchaseDate]],"ddd")</f>
        <v>Sun</v>
      </c>
      <c r="K211" s="12" t="str">
        <f>TEXT(Data[[#This Row],[PurchaseDate]],"mmm")</f>
        <v>Jan</v>
      </c>
    </row>
    <row r="212" spans="1:11" x14ac:dyDescent="0.25">
      <c r="A212" s="1" t="s">
        <v>260</v>
      </c>
      <c r="B212" s="2" t="s">
        <v>15</v>
      </c>
      <c r="C212" s="2" t="s">
        <v>16</v>
      </c>
      <c r="D212" s="2">
        <v>16</v>
      </c>
      <c r="E212" s="2">
        <v>11.36</v>
      </c>
      <c r="F212" s="2">
        <v>181.76</v>
      </c>
      <c r="G212" s="3">
        <v>45737</v>
      </c>
      <c r="H212" s="2" t="s">
        <v>17</v>
      </c>
      <c r="I212" s="4" t="s">
        <v>45</v>
      </c>
      <c r="J212" s="12" t="str">
        <f>TEXT(Data[[#This Row],[PurchaseDate]],"ddd")</f>
        <v>Fri</v>
      </c>
      <c r="K212" s="12" t="str">
        <f>TEXT(Data[[#This Row],[PurchaseDate]],"mmm")</f>
        <v>Mar</v>
      </c>
    </row>
    <row r="213" spans="1:11" x14ac:dyDescent="0.25">
      <c r="A213" s="1" t="s">
        <v>261</v>
      </c>
      <c r="B213" s="2" t="s">
        <v>15</v>
      </c>
      <c r="C213" s="2" t="s">
        <v>16</v>
      </c>
      <c r="D213" s="2">
        <v>7</v>
      </c>
      <c r="E213" s="2">
        <v>8.9</v>
      </c>
      <c r="F213" s="2">
        <v>62.3</v>
      </c>
      <c r="G213" s="3">
        <v>45936</v>
      </c>
      <c r="H213" s="2" t="s">
        <v>33</v>
      </c>
      <c r="I213" s="4" t="s">
        <v>45</v>
      </c>
      <c r="J213" s="12" t="str">
        <f>TEXT(Data[[#This Row],[PurchaseDate]],"ddd")</f>
        <v>Mon</v>
      </c>
      <c r="K213" s="12" t="str">
        <f>TEXT(Data[[#This Row],[PurchaseDate]],"mmm")</f>
        <v>Oct</v>
      </c>
    </row>
    <row r="214" spans="1:11" x14ac:dyDescent="0.25">
      <c r="A214" s="1" t="s">
        <v>262</v>
      </c>
      <c r="B214" s="2" t="s">
        <v>41</v>
      </c>
      <c r="C214" s="2" t="s">
        <v>11</v>
      </c>
      <c r="D214" s="2">
        <v>19</v>
      </c>
      <c r="E214" s="2">
        <v>109.37</v>
      </c>
      <c r="F214" s="2">
        <v>2078.0300000000002</v>
      </c>
      <c r="G214" s="3">
        <v>45722</v>
      </c>
      <c r="H214" s="2" t="s">
        <v>43</v>
      </c>
      <c r="I214" s="4" t="s">
        <v>83</v>
      </c>
      <c r="J214" s="12" t="str">
        <f>TEXT(Data[[#This Row],[PurchaseDate]],"ddd")</f>
        <v>Thu</v>
      </c>
      <c r="K214" s="12" t="str">
        <f>TEXT(Data[[#This Row],[PurchaseDate]],"mmm")</f>
        <v>Mar</v>
      </c>
    </row>
    <row r="215" spans="1:11" x14ac:dyDescent="0.25">
      <c r="A215" s="1" t="s">
        <v>263</v>
      </c>
      <c r="B215" s="2" t="s">
        <v>10</v>
      </c>
      <c r="C215" s="2" t="s">
        <v>11</v>
      </c>
      <c r="D215" s="2">
        <v>8</v>
      </c>
      <c r="E215" s="2">
        <v>181.38</v>
      </c>
      <c r="F215" s="2">
        <v>1451.04</v>
      </c>
      <c r="G215" s="3">
        <v>45718</v>
      </c>
      <c r="H215" s="2" t="s">
        <v>24</v>
      </c>
      <c r="I215" s="4" t="s">
        <v>79</v>
      </c>
      <c r="J215" s="12" t="str">
        <f>TEXT(Data[[#This Row],[PurchaseDate]],"ddd")</f>
        <v>Sun</v>
      </c>
      <c r="K215" s="12" t="str">
        <f>TEXT(Data[[#This Row],[PurchaseDate]],"mmm")</f>
        <v>Mar</v>
      </c>
    </row>
    <row r="216" spans="1:11" x14ac:dyDescent="0.25">
      <c r="A216" s="1" t="s">
        <v>264</v>
      </c>
      <c r="B216" s="2" t="s">
        <v>22</v>
      </c>
      <c r="C216" s="2" t="s">
        <v>23</v>
      </c>
      <c r="D216" s="2">
        <v>17</v>
      </c>
      <c r="E216" s="2">
        <v>1.34</v>
      </c>
      <c r="F216" s="2">
        <v>22.78</v>
      </c>
      <c r="G216" s="3">
        <v>45797</v>
      </c>
      <c r="H216" s="2" t="s">
        <v>33</v>
      </c>
      <c r="I216" s="4" t="s">
        <v>79</v>
      </c>
      <c r="J216" s="12" t="str">
        <f>TEXT(Data[[#This Row],[PurchaseDate]],"ddd")</f>
        <v>Tue</v>
      </c>
      <c r="K216" s="12" t="str">
        <f>TEXT(Data[[#This Row],[PurchaseDate]],"mmm")</f>
        <v>May</v>
      </c>
    </row>
    <row r="217" spans="1:11" x14ac:dyDescent="0.25">
      <c r="A217" s="1" t="s">
        <v>265</v>
      </c>
      <c r="B217" s="2" t="s">
        <v>10</v>
      </c>
      <c r="C217" s="2" t="s">
        <v>11</v>
      </c>
      <c r="D217" s="2">
        <v>7</v>
      </c>
      <c r="E217" s="2">
        <v>164.7</v>
      </c>
      <c r="F217" s="2">
        <v>1152.9000000000001</v>
      </c>
      <c r="G217" s="3">
        <v>45709</v>
      </c>
      <c r="H217" s="2" t="s">
        <v>43</v>
      </c>
      <c r="I217" s="4" t="s">
        <v>64</v>
      </c>
      <c r="J217" s="12" t="str">
        <f>TEXT(Data[[#This Row],[PurchaseDate]],"ddd")</f>
        <v>Fri</v>
      </c>
      <c r="K217" s="12" t="str">
        <f>TEXT(Data[[#This Row],[PurchaseDate]],"mmm")</f>
        <v>Feb</v>
      </c>
    </row>
    <row r="218" spans="1:11" x14ac:dyDescent="0.25">
      <c r="A218" s="1" t="s">
        <v>266</v>
      </c>
      <c r="B218" s="2" t="s">
        <v>22</v>
      </c>
      <c r="C218" s="2" t="s">
        <v>23</v>
      </c>
      <c r="D218" s="2">
        <v>13</v>
      </c>
      <c r="E218" s="2">
        <v>2.23</v>
      </c>
      <c r="F218" s="2">
        <v>28.99</v>
      </c>
      <c r="G218" s="3">
        <v>45741</v>
      </c>
      <c r="H218" s="2" t="s">
        <v>33</v>
      </c>
      <c r="I218" s="4" t="s">
        <v>58</v>
      </c>
      <c r="J218" s="12" t="str">
        <f>TEXT(Data[[#This Row],[PurchaseDate]],"ddd")</f>
        <v>Tue</v>
      </c>
      <c r="K218" s="12" t="str">
        <f>TEXT(Data[[#This Row],[PurchaseDate]],"mmm")</f>
        <v>Mar</v>
      </c>
    </row>
    <row r="219" spans="1:11" x14ac:dyDescent="0.25">
      <c r="A219" s="1" t="s">
        <v>267</v>
      </c>
      <c r="B219" s="2" t="s">
        <v>22</v>
      </c>
      <c r="C219" s="2" t="s">
        <v>23</v>
      </c>
      <c r="D219" s="2">
        <v>2</v>
      </c>
      <c r="E219" s="2">
        <v>1.76</v>
      </c>
      <c r="F219" s="2">
        <v>3.52</v>
      </c>
      <c r="G219" s="3">
        <v>45710</v>
      </c>
      <c r="H219" s="2" t="s">
        <v>43</v>
      </c>
      <c r="I219" s="4" t="s">
        <v>13</v>
      </c>
      <c r="J219" s="12" t="str">
        <f>TEXT(Data[[#This Row],[PurchaseDate]],"ddd")</f>
        <v>Sat</v>
      </c>
      <c r="K219" s="12" t="str">
        <f>TEXT(Data[[#This Row],[PurchaseDate]],"mmm")</f>
        <v>Feb</v>
      </c>
    </row>
    <row r="220" spans="1:11" x14ac:dyDescent="0.25">
      <c r="A220" s="1" t="s">
        <v>268</v>
      </c>
      <c r="B220" s="2" t="s">
        <v>15</v>
      </c>
      <c r="C220" s="2" t="s">
        <v>16</v>
      </c>
      <c r="D220" s="2">
        <v>14</v>
      </c>
      <c r="E220" s="2">
        <v>8.34</v>
      </c>
      <c r="F220" s="2">
        <v>116.76</v>
      </c>
      <c r="G220" s="3">
        <v>45987</v>
      </c>
      <c r="H220" s="2" t="s">
        <v>24</v>
      </c>
      <c r="I220" s="4" t="s">
        <v>85</v>
      </c>
      <c r="J220" s="12" t="str">
        <f>TEXT(Data[[#This Row],[PurchaseDate]],"ddd")</f>
        <v>Wed</v>
      </c>
      <c r="K220" s="12" t="str">
        <f>TEXT(Data[[#This Row],[PurchaseDate]],"mmm")</f>
        <v>Nov</v>
      </c>
    </row>
    <row r="221" spans="1:11" x14ac:dyDescent="0.25">
      <c r="A221" s="1" t="s">
        <v>269</v>
      </c>
      <c r="B221" s="2" t="s">
        <v>52</v>
      </c>
      <c r="C221" s="2" t="s">
        <v>30</v>
      </c>
      <c r="D221" s="2">
        <v>10</v>
      </c>
      <c r="E221" s="2">
        <v>267.91000000000003</v>
      </c>
      <c r="F221" s="2">
        <v>2679.1</v>
      </c>
      <c r="G221" s="3">
        <v>45848</v>
      </c>
      <c r="H221" s="2" t="s">
        <v>12</v>
      </c>
      <c r="I221" s="4" t="s">
        <v>96</v>
      </c>
      <c r="J221" s="12" t="str">
        <f>TEXT(Data[[#This Row],[PurchaseDate]],"ddd")</f>
        <v>Thu</v>
      </c>
      <c r="K221" s="12" t="str">
        <f>TEXT(Data[[#This Row],[PurchaseDate]],"mmm")</f>
        <v>Jul</v>
      </c>
    </row>
    <row r="222" spans="1:11" x14ac:dyDescent="0.25">
      <c r="A222" s="1" t="s">
        <v>270</v>
      </c>
      <c r="B222" s="2" t="s">
        <v>60</v>
      </c>
      <c r="C222" s="2" t="s">
        <v>30</v>
      </c>
      <c r="D222" s="2">
        <v>11</v>
      </c>
      <c r="E222" s="2">
        <v>808.22</v>
      </c>
      <c r="F222" s="2">
        <v>8890.42</v>
      </c>
      <c r="G222" s="3">
        <v>45902</v>
      </c>
      <c r="H222" s="2" t="s">
        <v>12</v>
      </c>
      <c r="I222" s="4" t="s">
        <v>69</v>
      </c>
      <c r="J222" s="12" t="str">
        <f>TEXT(Data[[#This Row],[PurchaseDate]],"ddd")</f>
        <v>Tue</v>
      </c>
      <c r="K222" s="12" t="str">
        <f>TEXT(Data[[#This Row],[PurchaseDate]],"mmm")</f>
        <v>Sep</v>
      </c>
    </row>
    <row r="223" spans="1:11" x14ac:dyDescent="0.25">
      <c r="A223" s="1" t="s">
        <v>271</v>
      </c>
      <c r="B223" s="2" t="s">
        <v>29</v>
      </c>
      <c r="C223" s="2" t="s">
        <v>30</v>
      </c>
      <c r="D223" s="2">
        <v>2</v>
      </c>
      <c r="E223" s="2">
        <v>270.8</v>
      </c>
      <c r="F223" s="2">
        <v>541.6</v>
      </c>
      <c r="G223" s="3">
        <v>45948</v>
      </c>
      <c r="H223" s="2" t="s">
        <v>17</v>
      </c>
      <c r="I223" s="4" t="s">
        <v>31</v>
      </c>
      <c r="J223" s="12" t="str">
        <f>TEXT(Data[[#This Row],[PurchaseDate]],"ddd")</f>
        <v>Sat</v>
      </c>
      <c r="K223" s="12" t="str">
        <f>TEXT(Data[[#This Row],[PurchaseDate]],"mmm")</f>
        <v>Oct</v>
      </c>
    </row>
    <row r="224" spans="1:11" x14ac:dyDescent="0.25">
      <c r="A224" s="1" t="s">
        <v>272</v>
      </c>
      <c r="B224" s="2" t="s">
        <v>19</v>
      </c>
      <c r="C224" s="2" t="s">
        <v>20</v>
      </c>
      <c r="D224" s="2">
        <v>1</v>
      </c>
      <c r="E224" s="2">
        <v>8876.25</v>
      </c>
      <c r="F224" s="2">
        <v>8876.25</v>
      </c>
      <c r="G224" s="3">
        <v>45965</v>
      </c>
      <c r="H224" s="2" t="s">
        <v>33</v>
      </c>
      <c r="I224" s="4" t="s">
        <v>34</v>
      </c>
      <c r="J224" s="12" t="str">
        <f>TEXT(Data[[#This Row],[PurchaseDate]],"ddd")</f>
        <v>Tue</v>
      </c>
      <c r="K224" s="12" t="str">
        <f>TEXT(Data[[#This Row],[PurchaseDate]],"mmm")</f>
        <v>Nov</v>
      </c>
    </row>
    <row r="225" spans="1:11" x14ac:dyDescent="0.25">
      <c r="A225" s="1" t="s">
        <v>273</v>
      </c>
      <c r="B225" s="2" t="s">
        <v>38</v>
      </c>
      <c r="C225" s="2" t="s">
        <v>23</v>
      </c>
      <c r="D225" s="2">
        <v>14</v>
      </c>
      <c r="E225" s="2">
        <v>15.95</v>
      </c>
      <c r="F225" s="2">
        <v>223.3</v>
      </c>
      <c r="G225" s="3">
        <v>45881</v>
      </c>
      <c r="H225" s="2" t="s">
        <v>12</v>
      </c>
      <c r="I225" s="4" t="s">
        <v>47</v>
      </c>
      <c r="J225" s="12" t="str">
        <f>TEXT(Data[[#This Row],[PurchaseDate]],"ddd")</f>
        <v>Tue</v>
      </c>
      <c r="K225" s="12" t="str">
        <f>TEXT(Data[[#This Row],[PurchaseDate]],"mmm")</f>
        <v>Aug</v>
      </c>
    </row>
    <row r="226" spans="1:11" x14ac:dyDescent="0.25">
      <c r="A226" s="1" t="s">
        <v>274</v>
      </c>
      <c r="B226" s="2" t="s">
        <v>15</v>
      </c>
      <c r="C226" s="2" t="s">
        <v>16</v>
      </c>
      <c r="D226" s="2">
        <v>17</v>
      </c>
      <c r="E226" s="2">
        <v>12.26</v>
      </c>
      <c r="F226" s="2">
        <v>208.42</v>
      </c>
      <c r="G226" s="3">
        <v>45740</v>
      </c>
      <c r="H226" s="2" t="s">
        <v>17</v>
      </c>
      <c r="I226" s="4" t="s">
        <v>58</v>
      </c>
      <c r="J226" s="12" t="str">
        <f>TEXT(Data[[#This Row],[PurchaseDate]],"ddd")</f>
        <v>Mon</v>
      </c>
      <c r="K226" s="12" t="str">
        <f>TEXT(Data[[#This Row],[PurchaseDate]],"mmm")</f>
        <v>Mar</v>
      </c>
    </row>
    <row r="227" spans="1:11" x14ac:dyDescent="0.25">
      <c r="A227" s="1" t="s">
        <v>275</v>
      </c>
      <c r="B227" s="2" t="s">
        <v>60</v>
      </c>
      <c r="C227" s="2" t="s">
        <v>30</v>
      </c>
      <c r="D227" s="2">
        <v>4</v>
      </c>
      <c r="E227" s="2">
        <v>920.27</v>
      </c>
      <c r="F227" s="2">
        <v>3681.08</v>
      </c>
      <c r="G227" s="3">
        <v>45995</v>
      </c>
      <c r="H227" s="2" t="s">
        <v>33</v>
      </c>
      <c r="I227" s="4" t="s">
        <v>31</v>
      </c>
      <c r="J227" s="12" t="str">
        <f>TEXT(Data[[#This Row],[PurchaseDate]],"ddd")</f>
        <v>Thu</v>
      </c>
      <c r="K227" s="12" t="str">
        <f>TEXT(Data[[#This Row],[PurchaseDate]],"mmm")</f>
        <v>Dec</v>
      </c>
    </row>
    <row r="228" spans="1:11" x14ac:dyDescent="0.25">
      <c r="A228" s="1" t="s">
        <v>276</v>
      </c>
      <c r="B228" s="2" t="s">
        <v>54</v>
      </c>
      <c r="C228" s="2" t="s">
        <v>55</v>
      </c>
      <c r="D228" s="2">
        <v>20</v>
      </c>
      <c r="E228" s="2">
        <v>33.380000000000003</v>
      </c>
      <c r="F228" s="2">
        <v>667.6</v>
      </c>
      <c r="G228" s="3">
        <v>45918</v>
      </c>
      <c r="H228" s="2" t="s">
        <v>12</v>
      </c>
      <c r="I228" s="4" t="s">
        <v>34</v>
      </c>
      <c r="J228" s="12" t="str">
        <f>TEXT(Data[[#This Row],[PurchaseDate]],"ddd")</f>
        <v>Thu</v>
      </c>
      <c r="K228" s="12" t="str">
        <f>TEXT(Data[[#This Row],[PurchaseDate]],"mmm")</f>
        <v>Sep</v>
      </c>
    </row>
    <row r="229" spans="1:11" x14ac:dyDescent="0.25">
      <c r="A229" s="1" t="s">
        <v>277</v>
      </c>
      <c r="B229" s="2" t="s">
        <v>10</v>
      </c>
      <c r="C229" s="2" t="s">
        <v>11</v>
      </c>
      <c r="D229" s="2">
        <v>19</v>
      </c>
      <c r="E229" s="2">
        <v>120.67</v>
      </c>
      <c r="F229" s="2">
        <v>2292.73</v>
      </c>
      <c r="G229" s="3">
        <v>45682</v>
      </c>
      <c r="H229" s="2" t="s">
        <v>17</v>
      </c>
      <c r="I229" s="4" t="s">
        <v>56</v>
      </c>
      <c r="J229" s="12" t="str">
        <f>TEXT(Data[[#This Row],[PurchaseDate]],"ddd")</f>
        <v>Sat</v>
      </c>
      <c r="K229" s="12" t="str">
        <f>TEXT(Data[[#This Row],[PurchaseDate]],"mmm")</f>
        <v>Jan</v>
      </c>
    </row>
    <row r="230" spans="1:11" x14ac:dyDescent="0.25">
      <c r="A230" s="1" t="s">
        <v>278</v>
      </c>
      <c r="B230" s="2" t="s">
        <v>10</v>
      </c>
      <c r="C230" s="2" t="s">
        <v>11</v>
      </c>
      <c r="D230" s="2">
        <v>10</v>
      </c>
      <c r="E230" s="2">
        <v>155.66</v>
      </c>
      <c r="F230" s="2">
        <v>1556.6</v>
      </c>
      <c r="G230" s="3">
        <v>45945</v>
      </c>
      <c r="H230" s="2" t="s">
        <v>24</v>
      </c>
      <c r="I230" s="4" t="s">
        <v>69</v>
      </c>
      <c r="J230" s="12" t="str">
        <f>TEXT(Data[[#This Row],[PurchaseDate]],"ddd")</f>
        <v>Wed</v>
      </c>
      <c r="K230" s="12" t="str">
        <f>TEXT(Data[[#This Row],[PurchaseDate]],"mmm")</f>
        <v>Oct</v>
      </c>
    </row>
    <row r="231" spans="1:11" x14ac:dyDescent="0.25">
      <c r="A231" s="1" t="s">
        <v>279</v>
      </c>
      <c r="B231" s="2" t="s">
        <v>29</v>
      </c>
      <c r="C231" s="2" t="s">
        <v>30</v>
      </c>
      <c r="D231" s="2">
        <v>4</v>
      </c>
      <c r="E231" s="2">
        <v>175.06</v>
      </c>
      <c r="F231" s="2">
        <v>700.24</v>
      </c>
      <c r="G231" s="3">
        <v>45944</v>
      </c>
      <c r="H231" s="2" t="s">
        <v>12</v>
      </c>
      <c r="I231" s="4" t="s">
        <v>58</v>
      </c>
      <c r="J231" s="12" t="str">
        <f>TEXT(Data[[#This Row],[PurchaseDate]],"ddd")</f>
        <v>Tue</v>
      </c>
      <c r="K231" s="12" t="str">
        <f>TEXT(Data[[#This Row],[PurchaseDate]],"mmm")</f>
        <v>Oct</v>
      </c>
    </row>
    <row r="232" spans="1:11" x14ac:dyDescent="0.25">
      <c r="A232" s="1" t="s">
        <v>280</v>
      </c>
      <c r="B232" s="2" t="s">
        <v>38</v>
      </c>
      <c r="C232" s="2" t="s">
        <v>23</v>
      </c>
      <c r="D232" s="2">
        <v>11</v>
      </c>
      <c r="E232" s="2">
        <v>16.66</v>
      </c>
      <c r="F232" s="2">
        <v>183.26</v>
      </c>
      <c r="G232" s="3">
        <v>45760</v>
      </c>
      <c r="H232" s="2" t="s">
        <v>12</v>
      </c>
      <c r="I232" s="4" t="s">
        <v>13</v>
      </c>
      <c r="J232" s="12" t="str">
        <f>TEXT(Data[[#This Row],[PurchaseDate]],"ddd")</f>
        <v>Sun</v>
      </c>
      <c r="K232" s="12" t="str">
        <f>TEXT(Data[[#This Row],[PurchaseDate]],"mmm")</f>
        <v>Apr</v>
      </c>
    </row>
    <row r="233" spans="1:11" x14ac:dyDescent="0.25">
      <c r="A233" s="1" t="s">
        <v>281</v>
      </c>
      <c r="B233" s="2" t="s">
        <v>52</v>
      </c>
      <c r="C233" s="2" t="s">
        <v>30</v>
      </c>
      <c r="D233" s="2">
        <v>15</v>
      </c>
      <c r="E233" s="2">
        <v>381.95</v>
      </c>
      <c r="F233" s="2">
        <v>5729.25</v>
      </c>
      <c r="G233" s="3">
        <v>45788</v>
      </c>
      <c r="H233" s="2" t="s">
        <v>33</v>
      </c>
      <c r="I233" s="4" t="s">
        <v>47</v>
      </c>
      <c r="J233" s="12" t="str">
        <f>TEXT(Data[[#This Row],[PurchaseDate]],"ddd")</f>
        <v>Sun</v>
      </c>
      <c r="K233" s="12" t="str">
        <f>TEXT(Data[[#This Row],[PurchaseDate]],"mmm")</f>
        <v>May</v>
      </c>
    </row>
    <row r="234" spans="1:11" x14ac:dyDescent="0.25">
      <c r="A234" s="1" t="s">
        <v>282</v>
      </c>
      <c r="B234" s="2" t="s">
        <v>15</v>
      </c>
      <c r="C234" s="2" t="s">
        <v>16</v>
      </c>
      <c r="D234" s="2">
        <v>15</v>
      </c>
      <c r="E234" s="2">
        <v>9.75</v>
      </c>
      <c r="F234" s="2">
        <v>146.25</v>
      </c>
      <c r="G234" s="3">
        <v>45969</v>
      </c>
      <c r="H234" s="2" t="s">
        <v>24</v>
      </c>
      <c r="I234" s="4" t="s">
        <v>45</v>
      </c>
      <c r="J234" s="12" t="str">
        <f>TEXT(Data[[#This Row],[PurchaseDate]],"ddd")</f>
        <v>Sat</v>
      </c>
      <c r="K234" s="12" t="str">
        <f>TEXT(Data[[#This Row],[PurchaseDate]],"mmm")</f>
        <v>Nov</v>
      </c>
    </row>
    <row r="235" spans="1:11" x14ac:dyDescent="0.25">
      <c r="A235" s="1" t="s">
        <v>283</v>
      </c>
      <c r="B235" s="2" t="s">
        <v>15</v>
      </c>
      <c r="C235" s="2" t="s">
        <v>16</v>
      </c>
      <c r="D235" s="2">
        <v>12</v>
      </c>
      <c r="E235" s="2">
        <v>8</v>
      </c>
      <c r="F235" s="2">
        <v>96</v>
      </c>
      <c r="G235" s="3">
        <v>45922</v>
      </c>
      <c r="H235" s="2" t="s">
        <v>24</v>
      </c>
      <c r="I235" s="4" t="s">
        <v>58</v>
      </c>
      <c r="J235" s="12" t="str">
        <f>TEXT(Data[[#This Row],[PurchaseDate]],"ddd")</f>
        <v>Mon</v>
      </c>
      <c r="K235" s="12" t="str">
        <f>TEXT(Data[[#This Row],[PurchaseDate]],"mmm")</f>
        <v>Sep</v>
      </c>
    </row>
    <row r="236" spans="1:11" x14ac:dyDescent="0.25">
      <c r="A236" s="1" t="s">
        <v>284</v>
      </c>
      <c r="B236" s="2" t="s">
        <v>15</v>
      </c>
      <c r="C236" s="2" t="s">
        <v>16</v>
      </c>
      <c r="D236" s="2">
        <v>14</v>
      </c>
      <c r="E236" s="2">
        <v>12.62</v>
      </c>
      <c r="F236" s="2">
        <v>176.68</v>
      </c>
      <c r="G236" s="3">
        <v>45898</v>
      </c>
      <c r="H236" s="2" t="s">
        <v>24</v>
      </c>
      <c r="I236" s="4" t="s">
        <v>64</v>
      </c>
      <c r="J236" s="12" t="str">
        <f>TEXT(Data[[#This Row],[PurchaseDate]],"ddd")</f>
        <v>Fri</v>
      </c>
      <c r="K236" s="12" t="str">
        <f>TEXT(Data[[#This Row],[PurchaseDate]],"mmm")</f>
        <v>Aug</v>
      </c>
    </row>
    <row r="237" spans="1:11" x14ac:dyDescent="0.25">
      <c r="A237" s="1" t="s">
        <v>285</v>
      </c>
      <c r="B237" s="2" t="s">
        <v>54</v>
      </c>
      <c r="C237" s="2" t="s">
        <v>55</v>
      </c>
      <c r="D237" s="2">
        <v>1</v>
      </c>
      <c r="E237" s="2">
        <v>20.72</v>
      </c>
      <c r="F237" s="2">
        <v>20.72</v>
      </c>
      <c r="G237" s="3">
        <v>45841</v>
      </c>
      <c r="H237" s="2" t="s">
        <v>24</v>
      </c>
      <c r="I237" s="4" t="s">
        <v>47</v>
      </c>
      <c r="J237" s="12" t="str">
        <f>TEXT(Data[[#This Row],[PurchaseDate]],"ddd")</f>
        <v>Thu</v>
      </c>
      <c r="K237" s="12" t="str">
        <f>TEXT(Data[[#This Row],[PurchaseDate]],"mmm")</f>
        <v>Jul</v>
      </c>
    </row>
    <row r="238" spans="1:11" x14ac:dyDescent="0.25">
      <c r="A238" s="1" t="s">
        <v>286</v>
      </c>
      <c r="B238" s="2" t="s">
        <v>41</v>
      </c>
      <c r="C238" s="2" t="s">
        <v>11</v>
      </c>
      <c r="D238" s="2">
        <v>8</v>
      </c>
      <c r="E238" s="2">
        <v>164.12</v>
      </c>
      <c r="F238" s="2">
        <v>1312.96</v>
      </c>
      <c r="G238" s="3">
        <v>45709</v>
      </c>
      <c r="H238" s="2" t="s">
        <v>17</v>
      </c>
      <c r="I238" s="4" t="s">
        <v>39</v>
      </c>
      <c r="J238" s="12" t="str">
        <f>TEXT(Data[[#This Row],[PurchaseDate]],"ddd")</f>
        <v>Fri</v>
      </c>
      <c r="K238" s="12" t="str">
        <f>TEXT(Data[[#This Row],[PurchaseDate]],"mmm")</f>
        <v>Feb</v>
      </c>
    </row>
    <row r="239" spans="1:11" x14ac:dyDescent="0.25">
      <c r="A239" s="1" t="s">
        <v>287</v>
      </c>
      <c r="B239" s="2" t="s">
        <v>29</v>
      </c>
      <c r="C239" s="2" t="s">
        <v>30</v>
      </c>
      <c r="D239" s="2">
        <v>9</v>
      </c>
      <c r="E239" s="2">
        <v>254.32</v>
      </c>
      <c r="F239" s="2">
        <v>2288.88</v>
      </c>
      <c r="G239" s="3">
        <v>45895</v>
      </c>
      <c r="H239" s="2" t="s">
        <v>12</v>
      </c>
      <c r="I239" s="4" t="s">
        <v>64</v>
      </c>
      <c r="J239" s="12" t="str">
        <f>TEXT(Data[[#This Row],[PurchaseDate]],"ddd")</f>
        <v>Tue</v>
      </c>
      <c r="K239" s="12" t="str">
        <f>TEXT(Data[[#This Row],[PurchaseDate]],"mmm")</f>
        <v>Aug</v>
      </c>
    </row>
    <row r="240" spans="1:11" x14ac:dyDescent="0.25">
      <c r="A240" s="1" t="s">
        <v>288</v>
      </c>
      <c r="B240" s="2" t="s">
        <v>52</v>
      </c>
      <c r="C240" s="2" t="s">
        <v>30</v>
      </c>
      <c r="D240" s="2">
        <v>20</v>
      </c>
      <c r="E240" s="2">
        <v>271.02999999999997</v>
      </c>
      <c r="F240" s="2">
        <v>5420.6</v>
      </c>
      <c r="G240" s="3">
        <v>45909</v>
      </c>
      <c r="H240" s="2" t="s">
        <v>24</v>
      </c>
      <c r="I240" s="4" t="s">
        <v>79</v>
      </c>
      <c r="J240" s="12" t="str">
        <f>TEXT(Data[[#This Row],[PurchaseDate]],"ddd")</f>
        <v>Tue</v>
      </c>
      <c r="K240" s="12" t="str">
        <f>TEXT(Data[[#This Row],[PurchaseDate]],"mmm")</f>
        <v>Sep</v>
      </c>
    </row>
    <row r="241" spans="1:11" x14ac:dyDescent="0.25">
      <c r="A241" s="1" t="s">
        <v>289</v>
      </c>
      <c r="B241" s="2" t="s">
        <v>38</v>
      </c>
      <c r="C241" s="2" t="s">
        <v>23</v>
      </c>
      <c r="D241" s="2">
        <v>11</v>
      </c>
      <c r="E241" s="2">
        <v>15.66</v>
      </c>
      <c r="F241" s="2">
        <v>172.26</v>
      </c>
      <c r="G241" s="3">
        <v>45867</v>
      </c>
      <c r="H241" s="2" t="s">
        <v>24</v>
      </c>
      <c r="I241" s="4" t="s">
        <v>56</v>
      </c>
      <c r="J241" s="12" t="str">
        <f>TEXT(Data[[#This Row],[PurchaseDate]],"ddd")</f>
        <v>Tue</v>
      </c>
      <c r="K241" s="12" t="str">
        <f>TEXT(Data[[#This Row],[PurchaseDate]],"mmm")</f>
        <v>Jul</v>
      </c>
    </row>
    <row r="242" spans="1:11" x14ac:dyDescent="0.25">
      <c r="A242" s="1" t="s">
        <v>290</v>
      </c>
      <c r="B242" s="2" t="s">
        <v>22</v>
      </c>
      <c r="C242" s="2" t="s">
        <v>23</v>
      </c>
      <c r="D242" s="2">
        <v>15</v>
      </c>
      <c r="E242" s="2">
        <v>2.16</v>
      </c>
      <c r="F242" s="2">
        <v>32.4</v>
      </c>
      <c r="G242" s="3">
        <v>45730</v>
      </c>
      <c r="H242" s="2" t="s">
        <v>43</v>
      </c>
      <c r="I242" s="4" t="s">
        <v>83</v>
      </c>
      <c r="J242" s="12" t="str">
        <f>TEXT(Data[[#This Row],[PurchaseDate]],"ddd")</f>
        <v>Fri</v>
      </c>
      <c r="K242" s="12" t="str">
        <f>TEXT(Data[[#This Row],[PurchaseDate]],"mmm")</f>
        <v>Mar</v>
      </c>
    </row>
    <row r="243" spans="1:11" x14ac:dyDescent="0.25">
      <c r="A243" s="1" t="s">
        <v>291</v>
      </c>
      <c r="B243" s="2" t="s">
        <v>54</v>
      </c>
      <c r="C243" s="2" t="s">
        <v>55</v>
      </c>
      <c r="D243" s="2">
        <v>3</v>
      </c>
      <c r="E243" s="2">
        <v>43.57</v>
      </c>
      <c r="F243" s="2">
        <v>130.71</v>
      </c>
      <c r="G243" s="3">
        <v>45975</v>
      </c>
      <c r="H243" s="2" t="s">
        <v>12</v>
      </c>
      <c r="I243" s="4" t="s">
        <v>133</v>
      </c>
      <c r="J243" s="12" t="str">
        <f>TEXT(Data[[#This Row],[PurchaseDate]],"ddd")</f>
        <v>Fri</v>
      </c>
      <c r="K243" s="12" t="str">
        <f>TEXT(Data[[#This Row],[PurchaseDate]],"mmm")</f>
        <v>Nov</v>
      </c>
    </row>
    <row r="244" spans="1:11" x14ac:dyDescent="0.25">
      <c r="A244" s="1" t="s">
        <v>292</v>
      </c>
      <c r="B244" s="2" t="s">
        <v>10</v>
      </c>
      <c r="C244" s="2" t="s">
        <v>11</v>
      </c>
      <c r="D244" s="2">
        <v>9</v>
      </c>
      <c r="E244" s="2">
        <v>170.05</v>
      </c>
      <c r="F244" s="2">
        <v>1530.45</v>
      </c>
      <c r="G244" s="3">
        <v>45733</v>
      </c>
      <c r="H244" s="2" t="s">
        <v>12</v>
      </c>
      <c r="I244" s="4" t="s">
        <v>64</v>
      </c>
      <c r="J244" s="12" t="str">
        <f>TEXT(Data[[#This Row],[PurchaseDate]],"ddd")</f>
        <v>Mon</v>
      </c>
      <c r="K244" s="12" t="str">
        <f>TEXT(Data[[#This Row],[PurchaseDate]],"mmm")</f>
        <v>Mar</v>
      </c>
    </row>
    <row r="245" spans="1:11" x14ac:dyDescent="0.25">
      <c r="A245" s="1" t="s">
        <v>293</v>
      </c>
      <c r="B245" s="2" t="s">
        <v>22</v>
      </c>
      <c r="C245" s="2" t="s">
        <v>23</v>
      </c>
      <c r="D245" s="2">
        <v>1</v>
      </c>
      <c r="E245" s="2">
        <v>1.57</v>
      </c>
      <c r="F245" s="2">
        <v>1.57</v>
      </c>
      <c r="G245" s="3">
        <v>45684</v>
      </c>
      <c r="H245" s="2" t="s">
        <v>12</v>
      </c>
      <c r="I245" s="4" t="s">
        <v>27</v>
      </c>
      <c r="J245" s="12" t="str">
        <f>TEXT(Data[[#This Row],[PurchaseDate]],"ddd")</f>
        <v>Mon</v>
      </c>
      <c r="K245" s="12" t="str">
        <f>TEXT(Data[[#This Row],[PurchaseDate]],"mmm")</f>
        <v>Jan</v>
      </c>
    </row>
    <row r="246" spans="1:11" x14ac:dyDescent="0.25">
      <c r="A246" s="1" t="s">
        <v>294</v>
      </c>
      <c r="B246" s="2" t="s">
        <v>54</v>
      </c>
      <c r="C246" s="2" t="s">
        <v>55</v>
      </c>
      <c r="D246" s="2">
        <v>15</v>
      </c>
      <c r="E246" s="2">
        <v>40.6</v>
      </c>
      <c r="F246" s="2">
        <v>609</v>
      </c>
      <c r="G246" s="3">
        <v>45902</v>
      </c>
      <c r="H246" s="2" t="s">
        <v>24</v>
      </c>
      <c r="I246" s="4" t="s">
        <v>79</v>
      </c>
      <c r="J246" s="12" t="str">
        <f>TEXT(Data[[#This Row],[PurchaseDate]],"ddd")</f>
        <v>Tue</v>
      </c>
      <c r="K246" s="12" t="str">
        <f>TEXT(Data[[#This Row],[PurchaseDate]],"mmm")</f>
        <v>Sep</v>
      </c>
    </row>
    <row r="247" spans="1:11" x14ac:dyDescent="0.25">
      <c r="A247" s="1" t="s">
        <v>295</v>
      </c>
      <c r="B247" s="2" t="s">
        <v>29</v>
      </c>
      <c r="C247" s="2" t="s">
        <v>30</v>
      </c>
      <c r="D247" s="2">
        <v>14</v>
      </c>
      <c r="E247" s="2">
        <v>272.22000000000003</v>
      </c>
      <c r="F247" s="2">
        <v>3811.08</v>
      </c>
      <c r="G247" s="3">
        <v>45766</v>
      </c>
      <c r="H247" s="2" t="s">
        <v>24</v>
      </c>
      <c r="I247" s="4" t="s">
        <v>25</v>
      </c>
      <c r="J247" s="12" t="str">
        <f>TEXT(Data[[#This Row],[PurchaseDate]],"ddd")</f>
        <v>Sat</v>
      </c>
      <c r="K247" s="12" t="str">
        <f>TEXT(Data[[#This Row],[PurchaseDate]],"mmm")</f>
        <v>Apr</v>
      </c>
    </row>
    <row r="248" spans="1:11" x14ac:dyDescent="0.25">
      <c r="A248" s="1" t="s">
        <v>296</v>
      </c>
      <c r="B248" s="2" t="s">
        <v>38</v>
      </c>
      <c r="C248" s="2" t="s">
        <v>23</v>
      </c>
      <c r="D248" s="2">
        <v>14</v>
      </c>
      <c r="E248" s="2">
        <v>14.19</v>
      </c>
      <c r="F248" s="2">
        <v>198.66</v>
      </c>
      <c r="G248" s="3">
        <v>45904</v>
      </c>
      <c r="H248" s="2" t="s">
        <v>33</v>
      </c>
      <c r="I248" s="4" t="s">
        <v>39</v>
      </c>
      <c r="J248" s="12" t="str">
        <f>TEXT(Data[[#This Row],[PurchaseDate]],"ddd")</f>
        <v>Thu</v>
      </c>
      <c r="K248" s="12" t="str">
        <f>TEXT(Data[[#This Row],[PurchaseDate]],"mmm")</f>
        <v>Sep</v>
      </c>
    </row>
    <row r="249" spans="1:11" x14ac:dyDescent="0.25">
      <c r="A249" s="1" t="s">
        <v>297</v>
      </c>
      <c r="B249" s="2" t="s">
        <v>10</v>
      </c>
      <c r="C249" s="2" t="s">
        <v>11</v>
      </c>
      <c r="D249" s="2">
        <v>19</v>
      </c>
      <c r="E249" s="2">
        <v>165.29</v>
      </c>
      <c r="F249" s="2">
        <v>3140.51</v>
      </c>
      <c r="G249" s="3">
        <v>45861</v>
      </c>
      <c r="H249" s="2" t="s">
        <v>33</v>
      </c>
      <c r="I249" s="4" t="s">
        <v>64</v>
      </c>
      <c r="J249" s="12" t="str">
        <f>TEXT(Data[[#This Row],[PurchaseDate]],"ddd")</f>
        <v>Wed</v>
      </c>
      <c r="K249" s="12" t="str">
        <f>TEXT(Data[[#This Row],[PurchaseDate]],"mmm")</f>
        <v>Jul</v>
      </c>
    </row>
    <row r="250" spans="1:11" x14ac:dyDescent="0.25">
      <c r="A250" s="1" t="s">
        <v>298</v>
      </c>
      <c r="B250" s="2" t="s">
        <v>22</v>
      </c>
      <c r="C250" s="2" t="s">
        <v>23</v>
      </c>
      <c r="D250" s="2">
        <v>13</v>
      </c>
      <c r="E250" s="2">
        <v>1.75</v>
      </c>
      <c r="F250" s="2">
        <v>22.75</v>
      </c>
      <c r="G250" s="3">
        <v>45805</v>
      </c>
      <c r="H250" s="2" t="s">
        <v>33</v>
      </c>
      <c r="I250" s="4" t="s">
        <v>83</v>
      </c>
      <c r="J250" s="12" t="str">
        <f>TEXT(Data[[#This Row],[PurchaseDate]],"ddd")</f>
        <v>Wed</v>
      </c>
      <c r="K250" s="12" t="str">
        <f>TEXT(Data[[#This Row],[PurchaseDate]],"mmm")</f>
        <v>May</v>
      </c>
    </row>
    <row r="251" spans="1:11" x14ac:dyDescent="0.25">
      <c r="A251" s="1" t="s">
        <v>299</v>
      </c>
      <c r="B251" s="2" t="s">
        <v>10</v>
      </c>
      <c r="C251" s="2" t="s">
        <v>11</v>
      </c>
      <c r="D251" s="2">
        <v>8</v>
      </c>
      <c r="E251" s="2">
        <v>146.26</v>
      </c>
      <c r="F251" s="2">
        <v>1170.08</v>
      </c>
      <c r="G251" s="3">
        <v>45843</v>
      </c>
      <c r="H251" s="2" t="s">
        <v>33</v>
      </c>
      <c r="I251" s="4" t="s">
        <v>85</v>
      </c>
      <c r="J251" s="12" t="str">
        <f>TEXT(Data[[#This Row],[PurchaseDate]],"ddd")</f>
        <v>Sat</v>
      </c>
      <c r="K251" s="12" t="str">
        <f>TEXT(Data[[#This Row],[PurchaseDate]],"mmm")</f>
        <v>Jul</v>
      </c>
    </row>
    <row r="252" spans="1:11" x14ac:dyDescent="0.25">
      <c r="A252" s="1" t="s">
        <v>300</v>
      </c>
      <c r="B252" s="2" t="s">
        <v>15</v>
      </c>
      <c r="C252" s="2" t="s">
        <v>16</v>
      </c>
      <c r="D252" s="2">
        <v>19</v>
      </c>
      <c r="E252" s="2">
        <v>6.33</v>
      </c>
      <c r="F252" s="2">
        <v>120.27</v>
      </c>
      <c r="G252" s="3">
        <v>45799</v>
      </c>
      <c r="H252" s="2" t="s">
        <v>17</v>
      </c>
      <c r="I252" s="4" t="s">
        <v>45</v>
      </c>
      <c r="J252" s="12" t="str">
        <f>TEXT(Data[[#This Row],[PurchaseDate]],"ddd")</f>
        <v>Thu</v>
      </c>
      <c r="K252" s="12" t="str">
        <f>TEXT(Data[[#This Row],[PurchaseDate]],"mmm")</f>
        <v>May</v>
      </c>
    </row>
    <row r="253" spans="1:11" x14ac:dyDescent="0.25">
      <c r="A253" s="1" t="s">
        <v>301</v>
      </c>
      <c r="B253" s="2" t="s">
        <v>60</v>
      </c>
      <c r="C253" s="2" t="s">
        <v>30</v>
      </c>
      <c r="D253" s="2">
        <v>11</v>
      </c>
      <c r="E253" s="2">
        <v>960.7</v>
      </c>
      <c r="F253" s="2">
        <v>10567.7</v>
      </c>
      <c r="G253" s="3">
        <v>45952</v>
      </c>
      <c r="H253" s="2" t="s">
        <v>12</v>
      </c>
      <c r="I253" s="4" t="s">
        <v>34</v>
      </c>
      <c r="J253" s="12" t="str">
        <f>TEXT(Data[[#This Row],[PurchaseDate]],"ddd")</f>
        <v>Wed</v>
      </c>
      <c r="K253" s="12" t="str">
        <f>TEXT(Data[[#This Row],[PurchaseDate]],"mmm")</f>
        <v>Oct</v>
      </c>
    </row>
    <row r="254" spans="1:11" x14ac:dyDescent="0.25">
      <c r="A254" s="1" t="s">
        <v>302</v>
      </c>
      <c r="B254" s="2" t="s">
        <v>19</v>
      </c>
      <c r="C254" s="2" t="s">
        <v>20</v>
      </c>
      <c r="D254" s="2">
        <v>1</v>
      </c>
      <c r="E254" s="2">
        <v>5315.45</v>
      </c>
      <c r="F254" s="2">
        <v>5315.45</v>
      </c>
      <c r="G254" s="3">
        <v>45969</v>
      </c>
      <c r="H254" s="2" t="s">
        <v>24</v>
      </c>
      <c r="I254" s="4" t="s">
        <v>96</v>
      </c>
      <c r="J254" s="12" t="str">
        <f>TEXT(Data[[#This Row],[PurchaseDate]],"ddd")</f>
        <v>Sat</v>
      </c>
      <c r="K254" s="12" t="str">
        <f>TEXT(Data[[#This Row],[PurchaseDate]],"mmm")</f>
        <v>Nov</v>
      </c>
    </row>
    <row r="255" spans="1:11" x14ac:dyDescent="0.25">
      <c r="A255" s="1" t="s">
        <v>303</v>
      </c>
      <c r="B255" s="2" t="s">
        <v>15</v>
      </c>
      <c r="C255" s="2" t="s">
        <v>16</v>
      </c>
      <c r="D255" s="2">
        <v>1</v>
      </c>
      <c r="E255" s="2">
        <v>8.77</v>
      </c>
      <c r="F255" s="2">
        <v>8.77</v>
      </c>
      <c r="G255" s="3">
        <v>45767</v>
      </c>
      <c r="H255" s="2" t="s">
        <v>12</v>
      </c>
      <c r="I255" s="4" t="s">
        <v>31</v>
      </c>
      <c r="J255" s="12" t="str">
        <f>TEXT(Data[[#This Row],[PurchaseDate]],"ddd")</f>
        <v>Sun</v>
      </c>
      <c r="K255" s="12" t="str">
        <f>TEXT(Data[[#This Row],[PurchaseDate]],"mmm")</f>
        <v>Apr</v>
      </c>
    </row>
    <row r="256" spans="1:11" x14ac:dyDescent="0.25">
      <c r="A256" s="1" t="s">
        <v>304</v>
      </c>
      <c r="B256" s="2" t="s">
        <v>41</v>
      </c>
      <c r="C256" s="2" t="s">
        <v>11</v>
      </c>
      <c r="D256" s="2">
        <v>17</v>
      </c>
      <c r="E256" s="2">
        <v>152.66</v>
      </c>
      <c r="F256" s="2">
        <v>2595.2199999999998</v>
      </c>
      <c r="G256" s="3">
        <v>45999</v>
      </c>
      <c r="H256" s="2" t="s">
        <v>33</v>
      </c>
      <c r="I256" s="4" t="s">
        <v>83</v>
      </c>
      <c r="J256" s="12" t="str">
        <f>TEXT(Data[[#This Row],[PurchaseDate]],"ddd")</f>
        <v>Mon</v>
      </c>
      <c r="K256" s="12" t="str">
        <f>TEXT(Data[[#This Row],[PurchaseDate]],"mmm")</f>
        <v>Dec</v>
      </c>
    </row>
    <row r="257" spans="1:11" x14ac:dyDescent="0.25">
      <c r="A257" s="1" t="s">
        <v>305</v>
      </c>
      <c r="B257" s="2" t="s">
        <v>52</v>
      </c>
      <c r="C257" s="2" t="s">
        <v>30</v>
      </c>
      <c r="D257" s="2">
        <v>1</v>
      </c>
      <c r="E257" s="2">
        <v>233.93</v>
      </c>
      <c r="F257" s="2">
        <v>233.93</v>
      </c>
      <c r="G257" s="3">
        <v>45850</v>
      </c>
      <c r="H257" s="2" t="s">
        <v>12</v>
      </c>
      <c r="I257" s="4" t="s">
        <v>79</v>
      </c>
      <c r="J257" s="12" t="str">
        <f>TEXT(Data[[#This Row],[PurchaseDate]],"ddd")</f>
        <v>Sat</v>
      </c>
      <c r="K257" s="12" t="str">
        <f>TEXT(Data[[#This Row],[PurchaseDate]],"mmm")</f>
        <v>Jul</v>
      </c>
    </row>
    <row r="258" spans="1:11" x14ac:dyDescent="0.25">
      <c r="A258" s="1" t="s">
        <v>306</v>
      </c>
      <c r="B258" s="2" t="s">
        <v>10</v>
      </c>
      <c r="C258" s="2" t="s">
        <v>11</v>
      </c>
      <c r="D258" s="2">
        <v>2</v>
      </c>
      <c r="E258" s="2">
        <v>198.18</v>
      </c>
      <c r="F258" s="2">
        <v>396.36</v>
      </c>
      <c r="G258" s="3">
        <v>45918</v>
      </c>
      <c r="H258" s="2" t="s">
        <v>33</v>
      </c>
      <c r="I258" s="4" t="s">
        <v>96</v>
      </c>
      <c r="J258" s="12" t="str">
        <f>TEXT(Data[[#This Row],[PurchaseDate]],"ddd")</f>
        <v>Thu</v>
      </c>
      <c r="K258" s="12" t="str">
        <f>TEXT(Data[[#This Row],[PurchaseDate]],"mmm")</f>
        <v>Sep</v>
      </c>
    </row>
    <row r="259" spans="1:11" x14ac:dyDescent="0.25">
      <c r="A259" s="1" t="s">
        <v>307</v>
      </c>
      <c r="B259" s="2" t="s">
        <v>15</v>
      </c>
      <c r="C259" s="2" t="s">
        <v>16</v>
      </c>
      <c r="D259" s="2">
        <v>1</v>
      </c>
      <c r="E259" s="2">
        <v>14.02</v>
      </c>
      <c r="F259" s="2">
        <v>14.02</v>
      </c>
      <c r="G259" s="3">
        <v>46012</v>
      </c>
      <c r="H259" s="2" t="s">
        <v>43</v>
      </c>
      <c r="I259" s="4" t="s">
        <v>27</v>
      </c>
      <c r="J259" s="12" t="str">
        <f>TEXT(Data[[#This Row],[PurchaseDate]],"ddd")</f>
        <v>Sun</v>
      </c>
      <c r="K259" s="12" t="str">
        <f>TEXT(Data[[#This Row],[PurchaseDate]],"mmm")</f>
        <v>Dec</v>
      </c>
    </row>
    <row r="260" spans="1:11" x14ac:dyDescent="0.25">
      <c r="A260" s="1" t="s">
        <v>308</v>
      </c>
      <c r="B260" s="2" t="s">
        <v>10</v>
      </c>
      <c r="C260" s="2" t="s">
        <v>11</v>
      </c>
      <c r="D260" s="2">
        <v>17</v>
      </c>
      <c r="E260" s="2">
        <v>155.57</v>
      </c>
      <c r="F260" s="2">
        <v>2644.69</v>
      </c>
      <c r="G260" s="3">
        <v>46001</v>
      </c>
      <c r="H260" s="2" t="s">
        <v>33</v>
      </c>
      <c r="I260" s="4" t="s">
        <v>45</v>
      </c>
      <c r="J260" s="12" t="str">
        <f>TEXT(Data[[#This Row],[PurchaseDate]],"ddd")</f>
        <v>Wed</v>
      </c>
      <c r="K260" s="12" t="str">
        <f>TEXT(Data[[#This Row],[PurchaseDate]],"mmm")</f>
        <v>Dec</v>
      </c>
    </row>
    <row r="261" spans="1:11" x14ac:dyDescent="0.25">
      <c r="A261" s="1" t="s">
        <v>309</v>
      </c>
      <c r="B261" s="2" t="s">
        <v>60</v>
      </c>
      <c r="C261" s="2" t="s">
        <v>30</v>
      </c>
      <c r="D261" s="2">
        <v>11</v>
      </c>
      <c r="E261" s="2">
        <v>971.94</v>
      </c>
      <c r="F261" s="2">
        <v>10691.34</v>
      </c>
      <c r="G261" s="3">
        <v>45984</v>
      </c>
      <c r="H261" s="2" t="s">
        <v>43</v>
      </c>
      <c r="I261" s="4" t="s">
        <v>96</v>
      </c>
      <c r="J261" s="12" t="str">
        <f>TEXT(Data[[#This Row],[PurchaseDate]],"ddd")</f>
        <v>Sun</v>
      </c>
      <c r="K261" s="12" t="str">
        <f>TEXT(Data[[#This Row],[PurchaseDate]],"mmm")</f>
        <v>Nov</v>
      </c>
    </row>
    <row r="262" spans="1:11" x14ac:dyDescent="0.25">
      <c r="A262" s="1" t="s">
        <v>310</v>
      </c>
      <c r="B262" s="2" t="s">
        <v>60</v>
      </c>
      <c r="C262" s="2" t="s">
        <v>30</v>
      </c>
      <c r="D262" s="2">
        <v>9</v>
      </c>
      <c r="E262" s="2">
        <v>908.32</v>
      </c>
      <c r="F262" s="2">
        <v>8174.88</v>
      </c>
      <c r="G262" s="3">
        <v>45894</v>
      </c>
      <c r="H262" s="2" t="s">
        <v>43</v>
      </c>
      <c r="I262" s="4" t="s">
        <v>13</v>
      </c>
      <c r="J262" s="12" t="str">
        <f>TEXT(Data[[#This Row],[PurchaseDate]],"ddd")</f>
        <v>Mon</v>
      </c>
      <c r="K262" s="12" t="str">
        <f>TEXT(Data[[#This Row],[PurchaseDate]],"mmm")</f>
        <v>Aug</v>
      </c>
    </row>
    <row r="263" spans="1:11" x14ac:dyDescent="0.25">
      <c r="A263" s="1" t="s">
        <v>311</v>
      </c>
      <c r="B263" s="2" t="s">
        <v>41</v>
      </c>
      <c r="C263" s="2" t="s">
        <v>11</v>
      </c>
      <c r="D263" s="2">
        <v>14</v>
      </c>
      <c r="E263" s="2">
        <v>113.58</v>
      </c>
      <c r="F263" s="2">
        <v>1590.12</v>
      </c>
      <c r="G263" s="3">
        <v>45816</v>
      </c>
      <c r="H263" s="2" t="s">
        <v>12</v>
      </c>
      <c r="I263" s="4" t="s">
        <v>36</v>
      </c>
      <c r="J263" s="12" t="str">
        <f>TEXT(Data[[#This Row],[PurchaseDate]],"ddd")</f>
        <v>Sun</v>
      </c>
      <c r="K263" s="12" t="str">
        <f>TEXT(Data[[#This Row],[PurchaseDate]],"mmm")</f>
        <v>Jun</v>
      </c>
    </row>
    <row r="264" spans="1:11" x14ac:dyDescent="0.25">
      <c r="A264" s="1" t="s">
        <v>312</v>
      </c>
      <c r="B264" s="2" t="s">
        <v>52</v>
      </c>
      <c r="C264" s="2" t="s">
        <v>30</v>
      </c>
      <c r="D264" s="2">
        <v>10</v>
      </c>
      <c r="E264" s="2">
        <v>242.82</v>
      </c>
      <c r="F264" s="2">
        <v>2428.1999999999998</v>
      </c>
      <c r="G264" s="3">
        <v>45881</v>
      </c>
      <c r="H264" s="2" t="s">
        <v>12</v>
      </c>
      <c r="I264" s="4" t="s">
        <v>133</v>
      </c>
      <c r="J264" s="12" t="str">
        <f>TEXT(Data[[#This Row],[PurchaseDate]],"ddd")</f>
        <v>Tue</v>
      </c>
      <c r="K264" s="12" t="str">
        <f>TEXT(Data[[#This Row],[PurchaseDate]],"mmm")</f>
        <v>Aug</v>
      </c>
    </row>
    <row r="265" spans="1:11" x14ac:dyDescent="0.25">
      <c r="A265" s="1" t="s">
        <v>313</v>
      </c>
      <c r="B265" s="2" t="s">
        <v>41</v>
      </c>
      <c r="C265" s="2" t="s">
        <v>11</v>
      </c>
      <c r="D265" s="2">
        <v>12</v>
      </c>
      <c r="E265" s="2">
        <v>177.73</v>
      </c>
      <c r="F265" s="2">
        <v>2132.7600000000002</v>
      </c>
      <c r="G265" s="3">
        <v>45751</v>
      </c>
      <c r="H265" s="2" t="s">
        <v>33</v>
      </c>
      <c r="I265" s="4" t="s">
        <v>69</v>
      </c>
      <c r="J265" s="12" t="str">
        <f>TEXT(Data[[#This Row],[PurchaseDate]],"ddd")</f>
        <v>Fri</v>
      </c>
      <c r="K265" s="12" t="str">
        <f>TEXT(Data[[#This Row],[PurchaseDate]],"mmm")</f>
        <v>Apr</v>
      </c>
    </row>
    <row r="266" spans="1:11" x14ac:dyDescent="0.25">
      <c r="A266" s="1" t="s">
        <v>314</v>
      </c>
      <c r="B266" s="2" t="s">
        <v>54</v>
      </c>
      <c r="C266" s="2" t="s">
        <v>55</v>
      </c>
      <c r="D266" s="2">
        <v>17</v>
      </c>
      <c r="E266" s="2">
        <v>34.51</v>
      </c>
      <c r="F266" s="2">
        <v>586.66999999999996</v>
      </c>
      <c r="G266" s="3">
        <v>45658</v>
      </c>
      <c r="H266" s="2" t="s">
        <v>17</v>
      </c>
      <c r="I266" s="4" t="s">
        <v>64</v>
      </c>
      <c r="J266" s="12" t="str">
        <f>TEXT(Data[[#This Row],[PurchaseDate]],"ddd")</f>
        <v>Wed</v>
      </c>
      <c r="K266" s="12" t="str">
        <f>TEXT(Data[[#This Row],[PurchaseDate]],"mmm")</f>
        <v>Jan</v>
      </c>
    </row>
    <row r="267" spans="1:11" x14ac:dyDescent="0.25">
      <c r="A267" s="1" t="s">
        <v>315</v>
      </c>
      <c r="B267" s="2" t="s">
        <v>29</v>
      </c>
      <c r="C267" s="2" t="s">
        <v>30</v>
      </c>
      <c r="D267" s="2">
        <v>4</v>
      </c>
      <c r="E267" s="2">
        <v>277.36</v>
      </c>
      <c r="F267" s="2">
        <v>1109.44</v>
      </c>
      <c r="G267" s="3">
        <v>45875</v>
      </c>
      <c r="H267" s="2" t="s">
        <v>33</v>
      </c>
      <c r="I267" s="4" t="s">
        <v>25</v>
      </c>
      <c r="J267" s="12" t="str">
        <f>TEXT(Data[[#This Row],[PurchaseDate]],"ddd")</f>
        <v>Wed</v>
      </c>
      <c r="K267" s="12" t="str">
        <f>TEXT(Data[[#This Row],[PurchaseDate]],"mmm")</f>
        <v>Aug</v>
      </c>
    </row>
    <row r="268" spans="1:11" x14ac:dyDescent="0.25">
      <c r="A268" s="1" t="s">
        <v>316</v>
      </c>
      <c r="B268" s="2" t="s">
        <v>54</v>
      </c>
      <c r="C268" s="2" t="s">
        <v>55</v>
      </c>
      <c r="D268" s="2">
        <v>6</v>
      </c>
      <c r="E268" s="2">
        <v>26.64</v>
      </c>
      <c r="F268" s="2">
        <v>159.84</v>
      </c>
      <c r="G268" s="3">
        <v>45957</v>
      </c>
      <c r="H268" s="2" t="s">
        <v>43</v>
      </c>
      <c r="I268" s="4" t="s">
        <v>13</v>
      </c>
      <c r="J268" s="12" t="str">
        <f>TEXT(Data[[#This Row],[PurchaseDate]],"ddd")</f>
        <v>Mon</v>
      </c>
      <c r="K268" s="12" t="str">
        <f>TEXT(Data[[#This Row],[PurchaseDate]],"mmm")</f>
        <v>Oct</v>
      </c>
    </row>
    <row r="269" spans="1:11" x14ac:dyDescent="0.25">
      <c r="A269" s="1" t="s">
        <v>317</v>
      </c>
      <c r="B269" s="2" t="s">
        <v>10</v>
      </c>
      <c r="C269" s="2" t="s">
        <v>11</v>
      </c>
      <c r="D269" s="2">
        <v>9</v>
      </c>
      <c r="E269" s="2">
        <v>115.09</v>
      </c>
      <c r="F269" s="2">
        <v>1035.81</v>
      </c>
      <c r="G269" s="3">
        <v>45680</v>
      </c>
      <c r="H269" s="2" t="s">
        <v>12</v>
      </c>
      <c r="I269" s="4" t="s">
        <v>31</v>
      </c>
      <c r="J269" s="12" t="str">
        <f>TEXT(Data[[#This Row],[PurchaseDate]],"ddd")</f>
        <v>Thu</v>
      </c>
      <c r="K269" s="12" t="str">
        <f>TEXT(Data[[#This Row],[PurchaseDate]],"mmm")</f>
        <v>Jan</v>
      </c>
    </row>
    <row r="270" spans="1:11" x14ac:dyDescent="0.25">
      <c r="A270" s="1" t="s">
        <v>318</v>
      </c>
      <c r="B270" s="2" t="s">
        <v>60</v>
      </c>
      <c r="C270" s="2" t="s">
        <v>30</v>
      </c>
      <c r="D270" s="2">
        <v>2</v>
      </c>
      <c r="E270" s="2">
        <v>859.47</v>
      </c>
      <c r="F270" s="2">
        <v>1718.94</v>
      </c>
      <c r="G270" s="3">
        <v>45778</v>
      </c>
      <c r="H270" s="2" t="s">
        <v>43</v>
      </c>
      <c r="I270" s="4" t="s">
        <v>133</v>
      </c>
      <c r="J270" s="12" t="str">
        <f>TEXT(Data[[#This Row],[PurchaseDate]],"ddd")</f>
        <v>Thu</v>
      </c>
      <c r="K270" s="12" t="str">
        <f>TEXT(Data[[#This Row],[PurchaseDate]],"mmm")</f>
        <v>May</v>
      </c>
    </row>
    <row r="271" spans="1:11" x14ac:dyDescent="0.25">
      <c r="A271" s="1" t="s">
        <v>319</v>
      </c>
      <c r="B271" s="2" t="s">
        <v>15</v>
      </c>
      <c r="C271" s="2" t="s">
        <v>16</v>
      </c>
      <c r="D271" s="2">
        <v>2</v>
      </c>
      <c r="E271" s="2">
        <v>12.89</v>
      </c>
      <c r="F271" s="2">
        <v>25.78</v>
      </c>
      <c r="G271" s="3">
        <v>45777</v>
      </c>
      <c r="H271" s="2" t="s">
        <v>43</v>
      </c>
      <c r="I271" s="4" t="s">
        <v>85</v>
      </c>
      <c r="J271" s="12" t="str">
        <f>TEXT(Data[[#This Row],[PurchaseDate]],"ddd")</f>
        <v>Wed</v>
      </c>
      <c r="K271" s="12" t="str">
        <f>TEXT(Data[[#This Row],[PurchaseDate]],"mmm")</f>
        <v>Apr</v>
      </c>
    </row>
    <row r="272" spans="1:11" x14ac:dyDescent="0.25">
      <c r="A272" s="1" t="s">
        <v>320</v>
      </c>
      <c r="B272" s="2" t="s">
        <v>41</v>
      </c>
      <c r="C272" s="2" t="s">
        <v>11</v>
      </c>
      <c r="D272" s="2">
        <v>8</v>
      </c>
      <c r="E272" s="2">
        <v>195.03</v>
      </c>
      <c r="F272" s="2">
        <v>1560.24</v>
      </c>
      <c r="G272" s="3">
        <v>45698</v>
      </c>
      <c r="H272" s="2" t="s">
        <v>12</v>
      </c>
      <c r="I272" s="4" t="s">
        <v>34</v>
      </c>
      <c r="J272" s="12" t="str">
        <f>TEXT(Data[[#This Row],[PurchaseDate]],"ddd")</f>
        <v>Mon</v>
      </c>
      <c r="K272" s="12" t="str">
        <f>TEXT(Data[[#This Row],[PurchaseDate]],"mmm")</f>
        <v>Feb</v>
      </c>
    </row>
    <row r="273" spans="1:11" x14ac:dyDescent="0.25">
      <c r="A273" s="1" t="s">
        <v>321</v>
      </c>
      <c r="B273" s="2" t="s">
        <v>52</v>
      </c>
      <c r="C273" s="2" t="s">
        <v>30</v>
      </c>
      <c r="D273" s="2">
        <v>4</v>
      </c>
      <c r="E273" s="2">
        <v>254.89</v>
      </c>
      <c r="F273" s="2">
        <v>1019.56</v>
      </c>
      <c r="G273" s="3">
        <v>45768</v>
      </c>
      <c r="H273" s="2" t="s">
        <v>12</v>
      </c>
      <c r="I273" s="4" t="s">
        <v>25</v>
      </c>
      <c r="J273" s="12" t="str">
        <f>TEXT(Data[[#This Row],[PurchaseDate]],"ddd")</f>
        <v>Mon</v>
      </c>
      <c r="K273" s="12" t="str">
        <f>TEXT(Data[[#This Row],[PurchaseDate]],"mmm")</f>
        <v>Apr</v>
      </c>
    </row>
    <row r="274" spans="1:11" x14ac:dyDescent="0.25">
      <c r="A274" s="1" t="s">
        <v>322</v>
      </c>
      <c r="B274" s="2" t="s">
        <v>54</v>
      </c>
      <c r="C274" s="2" t="s">
        <v>55</v>
      </c>
      <c r="D274" s="2">
        <v>18</v>
      </c>
      <c r="E274" s="2">
        <v>41.77</v>
      </c>
      <c r="F274" s="2">
        <v>751.86</v>
      </c>
      <c r="G274" s="3">
        <v>45961</v>
      </c>
      <c r="H274" s="2" t="s">
        <v>33</v>
      </c>
      <c r="I274" s="4" t="s">
        <v>79</v>
      </c>
      <c r="J274" s="12" t="str">
        <f>TEXT(Data[[#This Row],[PurchaseDate]],"ddd")</f>
        <v>Fri</v>
      </c>
      <c r="K274" s="12" t="str">
        <f>TEXT(Data[[#This Row],[PurchaseDate]],"mmm")</f>
        <v>Oct</v>
      </c>
    </row>
    <row r="275" spans="1:11" x14ac:dyDescent="0.25">
      <c r="A275" s="1" t="s">
        <v>323</v>
      </c>
      <c r="B275" s="2" t="s">
        <v>10</v>
      </c>
      <c r="C275" s="2" t="s">
        <v>11</v>
      </c>
      <c r="D275" s="2">
        <v>10</v>
      </c>
      <c r="E275" s="2">
        <v>131.54</v>
      </c>
      <c r="F275" s="2">
        <v>1315.4</v>
      </c>
      <c r="G275" s="3">
        <v>45855</v>
      </c>
      <c r="H275" s="2" t="s">
        <v>12</v>
      </c>
      <c r="I275" s="4" t="s">
        <v>79</v>
      </c>
      <c r="J275" s="12" t="str">
        <f>TEXT(Data[[#This Row],[PurchaseDate]],"ddd")</f>
        <v>Thu</v>
      </c>
      <c r="K275" s="12" t="str">
        <f>TEXT(Data[[#This Row],[PurchaseDate]],"mmm")</f>
        <v>Jul</v>
      </c>
    </row>
    <row r="276" spans="1:11" x14ac:dyDescent="0.25">
      <c r="A276" s="1" t="s">
        <v>324</v>
      </c>
      <c r="B276" s="2" t="s">
        <v>15</v>
      </c>
      <c r="C276" s="2" t="s">
        <v>16</v>
      </c>
      <c r="D276" s="2">
        <v>5</v>
      </c>
      <c r="E276" s="2">
        <v>11.33</v>
      </c>
      <c r="F276" s="2">
        <v>56.65</v>
      </c>
      <c r="G276" s="3">
        <v>45791</v>
      </c>
      <c r="H276" s="2" t="s">
        <v>43</v>
      </c>
      <c r="I276" s="4" t="s">
        <v>56</v>
      </c>
      <c r="J276" s="12" t="str">
        <f>TEXT(Data[[#This Row],[PurchaseDate]],"ddd")</f>
        <v>Wed</v>
      </c>
      <c r="K276" s="12" t="str">
        <f>TEXT(Data[[#This Row],[PurchaseDate]],"mmm")</f>
        <v>May</v>
      </c>
    </row>
    <row r="277" spans="1:11" x14ac:dyDescent="0.25">
      <c r="A277" s="1" t="s">
        <v>325</v>
      </c>
      <c r="B277" s="2" t="s">
        <v>38</v>
      </c>
      <c r="C277" s="2" t="s">
        <v>23</v>
      </c>
      <c r="D277" s="2">
        <v>16</v>
      </c>
      <c r="E277" s="2">
        <v>13.84</v>
      </c>
      <c r="F277" s="2">
        <v>221.44</v>
      </c>
      <c r="G277" s="3">
        <v>45662</v>
      </c>
      <c r="H277" s="2" t="s">
        <v>24</v>
      </c>
      <c r="I277" s="4" t="s">
        <v>25</v>
      </c>
      <c r="J277" s="12" t="str">
        <f>TEXT(Data[[#This Row],[PurchaseDate]],"ddd")</f>
        <v>Sun</v>
      </c>
      <c r="K277" s="12" t="str">
        <f>TEXT(Data[[#This Row],[PurchaseDate]],"mmm")</f>
        <v>Jan</v>
      </c>
    </row>
    <row r="278" spans="1:11" x14ac:dyDescent="0.25">
      <c r="A278" s="1" t="s">
        <v>326</v>
      </c>
      <c r="B278" s="2" t="s">
        <v>52</v>
      </c>
      <c r="C278" s="2" t="s">
        <v>30</v>
      </c>
      <c r="D278" s="2">
        <v>13</v>
      </c>
      <c r="E278" s="2">
        <v>276.45999999999998</v>
      </c>
      <c r="F278" s="2">
        <v>3593.98</v>
      </c>
      <c r="G278" s="3">
        <v>45816</v>
      </c>
      <c r="H278" s="2" t="s">
        <v>12</v>
      </c>
      <c r="I278" s="4" t="s">
        <v>56</v>
      </c>
      <c r="J278" s="12" t="str">
        <f>TEXT(Data[[#This Row],[PurchaseDate]],"ddd")</f>
        <v>Sun</v>
      </c>
      <c r="K278" s="12" t="str">
        <f>TEXT(Data[[#This Row],[PurchaseDate]],"mmm")</f>
        <v>Jun</v>
      </c>
    </row>
    <row r="279" spans="1:11" x14ac:dyDescent="0.25">
      <c r="A279" s="1" t="s">
        <v>327</v>
      </c>
      <c r="B279" s="2" t="s">
        <v>52</v>
      </c>
      <c r="C279" s="2" t="s">
        <v>30</v>
      </c>
      <c r="D279" s="2">
        <v>12</v>
      </c>
      <c r="E279" s="2">
        <v>253.77</v>
      </c>
      <c r="F279" s="2">
        <v>3045.24</v>
      </c>
      <c r="G279" s="3">
        <v>45716</v>
      </c>
      <c r="H279" s="2" t="s">
        <v>24</v>
      </c>
      <c r="I279" s="4" t="s">
        <v>133</v>
      </c>
      <c r="J279" s="12" t="str">
        <f>TEXT(Data[[#This Row],[PurchaseDate]],"ddd")</f>
        <v>Fri</v>
      </c>
      <c r="K279" s="12" t="str">
        <f>TEXT(Data[[#This Row],[PurchaseDate]],"mmm")</f>
        <v>Feb</v>
      </c>
    </row>
    <row r="280" spans="1:11" x14ac:dyDescent="0.25">
      <c r="A280" s="1" t="s">
        <v>328</v>
      </c>
      <c r="B280" s="2" t="s">
        <v>38</v>
      </c>
      <c r="C280" s="2" t="s">
        <v>23</v>
      </c>
      <c r="D280" s="2">
        <v>3</v>
      </c>
      <c r="E280" s="2">
        <v>14.61</v>
      </c>
      <c r="F280" s="2">
        <v>43.83</v>
      </c>
      <c r="G280" s="3">
        <v>45813</v>
      </c>
      <c r="H280" s="2" t="s">
        <v>33</v>
      </c>
      <c r="I280" s="4" t="s">
        <v>64</v>
      </c>
      <c r="J280" s="12" t="str">
        <f>TEXT(Data[[#This Row],[PurchaseDate]],"ddd")</f>
        <v>Thu</v>
      </c>
      <c r="K280" s="12" t="str">
        <f>TEXT(Data[[#This Row],[PurchaseDate]],"mmm")</f>
        <v>Jun</v>
      </c>
    </row>
    <row r="281" spans="1:11" x14ac:dyDescent="0.25">
      <c r="A281" s="1" t="s">
        <v>329</v>
      </c>
      <c r="B281" s="2" t="s">
        <v>60</v>
      </c>
      <c r="C281" s="2" t="s">
        <v>30</v>
      </c>
      <c r="D281" s="2">
        <v>13</v>
      </c>
      <c r="E281" s="2">
        <v>872.33</v>
      </c>
      <c r="F281" s="2">
        <v>11340.29</v>
      </c>
      <c r="G281" s="3">
        <v>45949</v>
      </c>
      <c r="H281" s="2" t="s">
        <v>17</v>
      </c>
      <c r="I281" s="4" t="s">
        <v>79</v>
      </c>
      <c r="J281" s="12" t="str">
        <f>TEXT(Data[[#This Row],[PurchaseDate]],"ddd")</f>
        <v>Sun</v>
      </c>
      <c r="K281" s="12" t="str">
        <f>TEXT(Data[[#This Row],[PurchaseDate]],"mmm")</f>
        <v>Oct</v>
      </c>
    </row>
    <row r="282" spans="1:11" x14ac:dyDescent="0.25">
      <c r="A282" s="1" t="s">
        <v>330</v>
      </c>
      <c r="B282" s="2" t="s">
        <v>19</v>
      </c>
      <c r="C282" s="2" t="s">
        <v>20</v>
      </c>
      <c r="D282" s="2">
        <v>1</v>
      </c>
      <c r="E282" s="2">
        <v>9452.25</v>
      </c>
      <c r="F282" s="2">
        <v>9452.25</v>
      </c>
      <c r="G282" s="3">
        <v>45825</v>
      </c>
      <c r="H282" s="2" t="s">
        <v>43</v>
      </c>
      <c r="I282" s="4" t="s">
        <v>49</v>
      </c>
      <c r="J282" s="12" t="str">
        <f>TEXT(Data[[#This Row],[PurchaseDate]],"ddd")</f>
        <v>Tue</v>
      </c>
      <c r="K282" s="12" t="str">
        <f>TEXT(Data[[#This Row],[PurchaseDate]],"mmm")</f>
        <v>Jun</v>
      </c>
    </row>
    <row r="283" spans="1:11" x14ac:dyDescent="0.25">
      <c r="A283" s="1" t="s">
        <v>331</v>
      </c>
      <c r="B283" s="2" t="s">
        <v>52</v>
      </c>
      <c r="C283" s="2" t="s">
        <v>30</v>
      </c>
      <c r="D283" s="2">
        <v>14</v>
      </c>
      <c r="E283" s="2">
        <v>226.49</v>
      </c>
      <c r="F283" s="2">
        <v>3170.86</v>
      </c>
      <c r="G283" s="3">
        <v>45919</v>
      </c>
      <c r="H283" s="2" t="s">
        <v>17</v>
      </c>
      <c r="I283" s="4" t="s">
        <v>45</v>
      </c>
      <c r="J283" s="12" t="str">
        <f>TEXT(Data[[#This Row],[PurchaseDate]],"ddd")</f>
        <v>Fri</v>
      </c>
      <c r="K283" s="12" t="str">
        <f>TEXT(Data[[#This Row],[PurchaseDate]],"mmm")</f>
        <v>Sep</v>
      </c>
    </row>
    <row r="284" spans="1:11" x14ac:dyDescent="0.25">
      <c r="A284" s="1" t="s">
        <v>332</v>
      </c>
      <c r="B284" s="2" t="s">
        <v>10</v>
      </c>
      <c r="C284" s="2" t="s">
        <v>11</v>
      </c>
      <c r="D284" s="2">
        <v>12</v>
      </c>
      <c r="E284" s="2">
        <v>100.9</v>
      </c>
      <c r="F284" s="2">
        <v>1210.8</v>
      </c>
      <c r="G284" s="3">
        <v>45931</v>
      </c>
      <c r="H284" s="2" t="s">
        <v>12</v>
      </c>
      <c r="I284" s="4" t="s">
        <v>36</v>
      </c>
      <c r="J284" s="12" t="str">
        <f>TEXT(Data[[#This Row],[PurchaseDate]],"ddd")</f>
        <v>Wed</v>
      </c>
      <c r="K284" s="12" t="str">
        <f>TEXT(Data[[#This Row],[PurchaseDate]],"mmm")</f>
        <v>Oct</v>
      </c>
    </row>
    <row r="285" spans="1:11" x14ac:dyDescent="0.25">
      <c r="A285" s="1" t="s">
        <v>333</v>
      </c>
      <c r="B285" s="2" t="s">
        <v>22</v>
      </c>
      <c r="C285" s="2" t="s">
        <v>23</v>
      </c>
      <c r="D285" s="2">
        <v>14</v>
      </c>
      <c r="E285" s="2">
        <v>2.0099999999999998</v>
      </c>
      <c r="F285" s="2">
        <v>28.14</v>
      </c>
      <c r="G285" s="3">
        <v>45710</v>
      </c>
      <c r="H285" s="2" t="s">
        <v>12</v>
      </c>
      <c r="I285" s="4" t="s">
        <v>45</v>
      </c>
      <c r="J285" s="12" t="str">
        <f>TEXT(Data[[#This Row],[PurchaseDate]],"ddd")</f>
        <v>Sat</v>
      </c>
      <c r="K285" s="12" t="str">
        <f>TEXT(Data[[#This Row],[PurchaseDate]],"mmm")</f>
        <v>Feb</v>
      </c>
    </row>
    <row r="286" spans="1:11" x14ac:dyDescent="0.25">
      <c r="A286" s="1" t="s">
        <v>334</v>
      </c>
      <c r="B286" s="2" t="s">
        <v>52</v>
      </c>
      <c r="C286" s="2" t="s">
        <v>30</v>
      </c>
      <c r="D286" s="2">
        <v>9</v>
      </c>
      <c r="E286" s="2">
        <v>315.2</v>
      </c>
      <c r="F286" s="2">
        <v>2836.8</v>
      </c>
      <c r="G286" s="3">
        <v>45729</v>
      </c>
      <c r="H286" s="2" t="s">
        <v>33</v>
      </c>
      <c r="I286" s="4" t="s">
        <v>133</v>
      </c>
      <c r="J286" s="12" t="str">
        <f>TEXT(Data[[#This Row],[PurchaseDate]],"ddd")</f>
        <v>Thu</v>
      </c>
      <c r="K286" s="12" t="str">
        <f>TEXT(Data[[#This Row],[PurchaseDate]],"mmm")</f>
        <v>Mar</v>
      </c>
    </row>
    <row r="287" spans="1:11" x14ac:dyDescent="0.25">
      <c r="A287" s="1" t="s">
        <v>335</v>
      </c>
      <c r="B287" s="2" t="s">
        <v>19</v>
      </c>
      <c r="C287" s="2" t="s">
        <v>20</v>
      </c>
      <c r="D287" s="2">
        <v>1</v>
      </c>
      <c r="E287" s="2">
        <v>6678.13</v>
      </c>
      <c r="F287" s="2">
        <v>6678.13</v>
      </c>
      <c r="G287" s="3">
        <v>45671</v>
      </c>
      <c r="H287" s="2" t="s">
        <v>43</v>
      </c>
      <c r="I287" s="4" t="s">
        <v>36</v>
      </c>
      <c r="J287" s="12" t="str">
        <f>TEXT(Data[[#This Row],[PurchaseDate]],"ddd")</f>
        <v>Tue</v>
      </c>
      <c r="K287" s="12" t="str">
        <f>TEXT(Data[[#This Row],[PurchaseDate]],"mmm")</f>
        <v>Jan</v>
      </c>
    </row>
    <row r="288" spans="1:11" x14ac:dyDescent="0.25">
      <c r="A288" s="1" t="s">
        <v>336</v>
      </c>
      <c r="B288" s="2" t="s">
        <v>10</v>
      </c>
      <c r="C288" s="2" t="s">
        <v>11</v>
      </c>
      <c r="D288" s="2">
        <v>11</v>
      </c>
      <c r="E288" s="2">
        <v>177.57</v>
      </c>
      <c r="F288" s="2">
        <v>1953.27</v>
      </c>
      <c r="G288" s="3">
        <v>45765</v>
      </c>
      <c r="H288" s="2" t="s">
        <v>33</v>
      </c>
      <c r="I288" s="4" t="s">
        <v>27</v>
      </c>
      <c r="J288" s="12" t="str">
        <f>TEXT(Data[[#This Row],[PurchaseDate]],"ddd")</f>
        <v>Fri</v>
      </c>
      <c r="K288" s="12" t="str">
        <f>TEXT(Data[[#This Row],[PurchaseDate]],"mmm")</f>
        <v>Apr</v>
      </c>
    </row>
    <row r="289" spans="1:11" x14ac:dyDescent="0.25">
      <c r="A289" s="1" t="s">
        <v>337</v>
      </c>
      <c r="B289" s="2" t="s">
        <v>15</v>
      </c>
      <c r="C289" s="2" t="s">
        <v>16</v>
      </c>
      <c r="D289" s="2">
        <v>3</v>
      </c>
      <c r="E289" s="2">
        <v>13.69</v>
      </c>
      <c r="F289" s="2">
        <v>41.07</v>
      </c>
      <c r="G289" s="3">
        <v>45953</v>
      </c>
      <c r="H289" s="2" t="s">
        <v>33</v>
      </c>
      <c r="I289" s="4" t="s">
        <v>36</v>
      </c>
      <c r="J289" s="12" t="str">
        <f>TEXT(Data[[#This Row],[PurchaseDate]],"ddd")</f>
        <v>Thu</v>
      </c>
      <c r="K289" s="12" t="str">
        <f>TEXT(Data[[#This Row],[PurchaseDate]],"mmm")</f>
        <v>Oct</v>
      </c>
    </row>
    <row r="290" spans="1:11" x14ac:dyDescent="0.25">
      <c r="A290" s="1" t="s">
        <v>338</v>
      </c>
      <c r="B290" s="2" t="s">
        <v>10</v>
      </c>
      <c r="C290" s="2" t="s">
        <v>11</v>
      </c>
      <c r="D290" s="2">
        <v>17</v>
      </c>
      <c r="E290" s="2">
        <v>134.11000000000001</v>
      </c>
      <c r="F290" s="2">
        <v>2279.87</v>
      </c>
      <c r="G290" s="3">
        <v>45978</v>
      </c>
      <c r="H290" s="2" t="s">
        <v>17</v>
      </c>
      <c r="I290" s="4" t="s">
        <v>31</v>
      </c>
      <c r="J290" s="12" t="str">
        <f>TEXT(Data[[#This Row],[PurchaseDate]],"ddd")</f>
        <v>Mon</v>
      </c>
      <c r="K290" s="12" t="str">
        <f>TEXT(Data[[#This Row],[PurchaseDate]],"mmm")</f>
        <v>Nov</v>
      </c>
    </row>
    <row r="291" spans="1:11" x14ac:dyDescent="0.25">
      <c r="A291" s="1" t="s">
        <v>339</v>
      </c>
      <c r="B291" s="2" t="s">
        <v>60</v>
      </c>
      <c r="C291" s="2" t="s">
        <v>30</v>
      </c>
      <c r="D291" s="2">
        <v>12</v>
      </c>
      <c r="E291" s="2">
        <v>861.92</v>
      </c>
      <c r="F291" s="2">
        <v>10343.040000000001</v>
      </c>
      <c r="G291" s="3">
        <v>45727</v>
      </c>
      <c r="H291" s="2" t="s">
        <v>17</v>
      </c>
      <c r="I291" s="4" t="s">
        <v>133</v>
      </c>
      <c r="J291" s="12" t="str">
        <f>TEXT(Data[[#This Row],[PurchaseDate]],"ddd")</f>
        <v>Tue</v>
      </c>
      <c r="K291" s="12" t="str">
        <f>TEXT(Data[[#This Row],[PurchaseDate]],"mmm")</f>
        <v>Mar</v>
      </c>
    </row>
    <row r="292" spans="1:11" x14ac:dyDescent="0.25">
      <c r="A292" s="1" t="s">
        <v>340</v>
      </c>
      <c r="B292" s="2" t="s">
        <v>52</v>
      </c>
      <c r="C292" s="2" t="s">
        <v>30</v>
      </c>
      <c r="D292" s="2">
        <v>11</v>
      </c>
      <c r="E292" s="2">
        <v>201.29</v>
      </c>
      <c r="F292" s="2">
        <v>2214.19</v>
      </c>
      <c r="G292" s="3">
        <v>45971</v>
      </c>
      <c r="H292" s="2" t="s">
        <v>43</v>
      </c>
      <c r="I292" s="4" t="s">
        <v>133</v>
      </c>
      <c r="J292" s="12" t="str">
        <f>TEXT(Data[[#This Row],[PurchaseDate]],"ddd")</f>
        <v>Mon</v>
      </c>
      <c r="K292" s="12" t="str">
        <f>TEXT(Data[[#This Row],[PurchaseDate]],"mmm")</f>
        <v>Nov</v>
      </c>
    </row>
    <row r="293" spans="1:11" x14ac:dyDescent="0.25">
      <c r="A293" s="1" t="s">
        <v>341</v>
      </c>
      <c r="B293" s="2" t="s">
        <v>54</v>
      </c>
      <c r="C293" s="2" t="s">
        <v>55</v>
      </c>
      <c r="D293" s="2">
        <v>15</v>
      </c>
      <c r="E293" s="2">
        <v>32.31</v>
      </c>
      <c r="F293" s="2">
        <v>484.65</v>
      </c>
      <c r="G293" s="3">
        <v>45813</v>
      </c>
      <c r="H293" s="2" t="s">
        <v>33</v>
      </c>
      <c r="I293" s="4" t="s">
        <v>25</v>
      </c>
      <c r="J293" s="12" t="str">
        <f>TEXT(Data[[#This Row],[PurchaseDate]],"ddd")</f>
        <v>Thu</v>
      </c>
      <c r="K293" s="12" t="str">
        <f>TEXT(Data[[#This Row],[PurchaseDate]],"mmm")</f>
        <v>Jun</v>
      </c>
    </row>
    <row r="294" spans="1:11" x14ac:dyDescent="0.25">
      <c r="A294" s="1" t="s">
        <v>342</v>
      </c>
      <c r="B294" s="2" t="s">
        <v>38</v>
      </c>
      <c r="C294" s="2" t="s">
        <v>23</v>
      </c>
      <c r="D294" s="2">
        <v>14</v>
      </c>
      <c r="E294" s="2">
        <v>12.57</v>
      </c>
      <c r="F294" s="2">
        <v>175.98</v>
      </c>
      <c r="G294" s="3">
        <v>45882</v>
      </c>
      <c r="H294" s="2" t="s">
        <v>24</v>
      </c>
      <c r="I294" s="4" t="s">
        <v>45</v>
      </c>
      <c r="J294" s="12" t="str">
        <f>TEXT(Data[[#This Row],[PurchaseDate]],"ddd")</f>
        <v>Wed</v>
      </c>
      <c r="K294" s="12" t="str">
        <f>TEXT(Data[[#This Row],[PurchaseDate]],"mmm")</f>
        <v>Aug</v>
      </c>
    </row>
    <row r="295" spans="1:11" x14ac:dyDescent="0.25">
      <c r="A295" s="1" t="s">
        <v>343</v>
      </c>
      <c r="B295" s="2" t="s">
        <v>29</v>
      </c>
      <c r="C295" s="2" t="s">
        <v>30</v>
      </c>
      <c r="D295" s="2">
        <v>12</v>
      </c>
      <c r="E295" s="2">
        <v>192.13</v>
      </c>
      <c r="F295" s="2">
        <v>2305.56</v>
      </c>
      <c r="G295" s="3">
        <v>45672</v>
      </c>
      <c r="H295" s="2" t="s">
        <v>33</v>
      </c>
      <c r="I295" s="4" t="s">
        <v>94</v>
      </c>
      <c r="J295" s="12" t="str">
        <f>TEXT(Data[[#This Row],[PurchaseDate]],"ddd")</f>
        <v>Wed</v>
      </c>
      <c r="K295" s="12" t="str">
        <f>TEXT(Data[[#This Row],[PurchaseDate]],"mmm")</f>
        <v>Jan</v>
      </c>
    </row>
    <row r="296" spans="1:11" x14ac:dyDescent="0.25">
      <c r="A296" s="1" t="s">
        <v>344</v>
      </c>
      <c r="B296" s="2" t="s">
        <v>54</v>
      </c>
      <c r="C296" s="2" t="s">
        <v>55</v>
      </c>
      <c r="D296" s="2">
        <v>15</v>
      </c>
      <c r="E296" s="2">
        <v>22.7</v>
      </c>
      <c r="F296" s="2">
        <v>340.5</v>
      </c>
      <c r="G296" s="3">
        <v>46021</v>
      </c>
      <c r="H296" s="2" t="s">
        <v>12</v>
      </c>
      <c r="I296" s="4" t="s">
        <v>79</v>
      </c>
      <c r="J296" s="12" t="str">
        <f>TEXT(Data[[#This Row],[PurchaseDate]],"ddd")</f>
        <v>Tue</v>
      </c>
      <c r="K296" s="12" t="str">
        <f>TEXT(Data[[#This Row],[PurchaseDate]],"mmm")</f>
        <v>Dec</v>
      </c>
    </row>
    <row r="297" spans="1:11" x14ac:dyDescent="0.25">
      <c r="A297" s="1" t="s">
        <v>345</v>
      </c>
      <c r="B297" s="2" t="s">
        <v>41</v>
      </c>
      <c r="C297" s="2" t="s">
        <v>11</v>
      </c>
      <c r="D297" s="2">
        <v>5</v>
      </c>
      <c r="E297" s="2">
        <v>109.14</v>
      </c>
      <c r="F297" s="2">
        <v>545.70000000000005</v>
      </c>
      <c r="G297" s="3">
        <v>45928</v>
      </c>
      <c r="H297" s="2" t="s">
        <v>43</v>
      </c>
      <c r="I297" s="4" t="s">
        <v>79</v>
      </c>
      <c r="J297" s="12" t="str">
        <f>TEXT(Data[[#This Row],[PurchaseDate]],"ddd")</f>
        <v>Sun</v>
      </c>
      <c r="K297" s="12" t="str">
        <f>TEXT(Data[[#This Row],[PurchaseDate]],"mmm")</f>
        <v>Sep</v>
      </c>
    </row>
    <row r="298" spans="1:11" x14ac:dyDescent="0.25">
      <c r="A298" s="1" t="s">
        <v>346</v>
      </c>
      <c r="B298" s="2" t="s">
        <v>19</v>
      </c>
      <c r="C298" s="2" t="s">
        <v>20</v>
      </c>
      <c r="D298" s="2">
        <v>1</v>
      </c>
      <c r="E298" s="2">
        <v>9503.77</v>
      </c>
      <c r="F298" s="2">
        <v>9503.77</v>
      </c>
      <c r="G298" s="3">
        <v>45976</v>
      </c>
      <c r="H298" s="2" t="s">
        <v>43</v>
      </c>
      <c r="I298" s="4" t="s">
        <v>58</v>
      </c>
      <c r="J298" s="12" t="str">
        <f>TEXT(Data[[#This Row],[PurchaseDate]],"ddd")</f>
        <v>Sat</v>
      </c>
      <c r="K298" s="12" t="str">
        <f>TEXT(Data[[#This Row],[PurchaseDate]],"mmm")</f>
        <v>Nov</v>
      </c>
    </row>
    <row r="299" spans="1:11" x14ac:dyDescent="0.25">
      <c r="A299" s="1" t="s">
        <v>347</v>
      </c>
      <c r="B299" s="2" t="s">
        <v>19</v>
      </c>
      <c r="C299" s="2" t="s">
        <v>20</v>
      </c>
      <c r="D299" s="2">
        <v>1</v>
      </c>
      <c r="E299" s="2">
        <v>5489.81</v>
      </c>
      <c r="F299" s="2">
        <v>5489.81</v>
      </c>
      <c r="G299" s="3">
        <v>45963</v>
      </c>
      <c r="H299" s="2" t="s">
        <v>12</v>
      </c>
      <c r="I299" s="4" t="s">
        <v>34</v>
      </c>
      <c r="J299" s="12" t="str">
        <f>TEXT(Data[[#This Row],[PurchaseDate]],"ddd")</f>
        <v>Sun</v>
      </c>
      <c r="K299" s="12" t="str">
        <f>TEXT(Data[[#This Row],[PurchaseDate]],"mmm")</f>
        <v>Nov</v>
      </c>
    </row>
    <row r="300" spans="1:11" x14ac:dyDescent="0.25">
      <c r="A300" s="1" t="s">
        <v>348</v>
      </c>
      <c r="B300" s="2" t="s">
        <v>22</v>
      </c>
      <c r="C300" s="2" t="s">
        <v>23</v>
      </c>
      <c r="D300" s="2">
        <v>11</v>
      </c>
      <c r="E300" s="2">
        <v>1.23</v>
      </c>
      <c r="F300" s="2">
        <v>13.53</v>
      </c>
      <c r="G300" s="3">
        <v>45863</v>
      </c>
      <c r="H300" s="2" t="s">
        <v>43</v>
      </c>
      <c r="I300" s="4" t="s">
        <v>58</v>
      </c>
      <c r="J300" s="12" t="str">
        <f>TEXT(Data[[#This Row],[PurchaseDate]],"ddd")</f>
        <v>Fri</v>
      </c>
      <c r="K300" s="12" t="str">
        <f>TEXT(Data[[#This Row],[PurchaseDate]],"mmm")</f>
        <v>Jul</v>
      </c>
    </row>
    <row r="301" spans="1:11" x14ac:dyDescent="0.25">
      <c r="A301" s="1" t="s">
        <v>349</v>
      </c>
      <c r="B301" s="2" t="s">
        <v>60</v>
      </c>
      <c r="C301" s="2" t="s">
        <v>30</v>
      </c>
      <c r="D301" s="2">
        <v>1</v>
      </c>
      <c r="E301" s="2">
        <v>871.95</v>
      </c>
      <c r="F301" s="2">
        <v>871.95</v>
      </c>
      <c r="G301" s="3">
        <v>45986</v>
      </c>
      <c r="H301" s="2" t="s">
        <v>33</v>
      </c>
      <c r="I301" s="4" t="s">
        <v>64</v>
      </c>
      <c r="J301" s="12" t="str">
        <f>TEXT(Data[[#This Row],[PurchaseDate]],"ddd")</f>
        <v>Tue</v>
      </c>
      <c r="K301" s="12" t="str">
        <f>TEXT(Data[[#This Row],[PurchaseDate]],"mmm")</f>
        <v>Nov</v>
      </c>
    </row>
    <row r="302" spans="1:11" x14ac:dyDescent="0.25">
      <c r="A302" s="1" t="s">
        <v>350</v>
      </c>
      <c r="B302" s="2" t="s">
        <v>29</v>
      </c>
      <c r="C302" s="2" t="s">
        <v>30</v>
      </c>
      <c r="D302" s="2">
        <v>3</v>
      </c>
      <c r="E302" s="2">
        <v>179.61</v>
      </c>
      <c r="F302" s="2">
        <v>538.83000000000004</v>
      </c>
      <c r="G302" s="3">
        <v>45986</v>
      </c>
      <c r="H302" s="2" t="s">
        <v>17</v>
      </c>
      <c r="I302" s="4" t="s">
        <v>49</v>
      </c>
      <c r="J302" s="12" t="str">
        <f>TEXT(Data[[#This Row],[PurchaseDate]],"ddd")</f>
        <v>Tue</v>
      </c>
      <c r="K302" s="12" t="str">
        <f>TEXT(Data[[#This Row],[PurchaseDate]],"mmm")</f>
        <v>Nov</v>
      </c>
    </row>
    <row r="303" spans="1:11" x14ac:dyDescent="0.25">
      <c r="A303" s="1" t="s">
        <v>351</v>
      </c>
      <c r="B303" s="2" t="s">
        <v>29</v>
      </c>
      <c r="C303" s="2" t="s">
        <v>30</v>
      </c>
      <c r="D303" s="2">
        <v>13</v>
      </c>
      <c r="E303" s="2">
        <v>234.5</v>
      </c>
      <c r="F303" s="2">
        <v>3048.5</v>
      </c>
      <c r="G303" s="3">
        <v>45781</v>
      </c>
      <c r="H303" s="2" t="s">
        <v>17</v>
      </c>
      <c r="I303" s="4" t="s">
        <v>27</v>
      </c>
      <c r="J303" s="12" t="str">
        <f>TEXT(Data[[#This Row],[PurchaseDate]],"ddd")</f>
        <v>Sun</v>
      </c>
      <c r="K303" s="12" t="str">
        <f>TEXT(Data[[#This Row],[PurchaseDate]],"mmm")</f>
        <v>May</v>
      </c>
    </row>
    <row r="304" spans="1:11" x14ac:dyDescent="0.25">
      <c r="A304" s="1" t="s">
        <v>352</v>
      </c>
      <c r="B304" s="2" t="s">
        <v>54</v>
      </c>
      <c r="C304" s="2" t="s">
        <v>55</v>
      </c>
      <c r="D304" s="2">
        <v>18</v>
      </c>
      <c r="E304" s="2">
        <v>42.31</v>
      </c>
      <c r="F304" s="2">
        <v>761.58</v>
      </c>
      <c r="G304" s="3">
        <v>45883</v>
      </c>
      <c r="H304" s="2" t="s">
        <v>12</v>
      </c>
      <c r="I304" s="4" t="s">
        <v>36</v>
      </c>
      <c r="J304" s="12" t="str">
        <f>TEXT(Data[[#This Row],[PurchaseDate]],"ddd")</f>
        <v>Thu</v>
      </c>
      <c r="K304" s="12" t="str">
        <f>TEXT(Data[[#This Row],[PurchaseDate]],"mmm")</f>
        <v>Aug</v>
      </c>
    </row>
    <row r="305" spans="1:11" x14ac:dyDescent="0.25">
      <c r="A305" s="1" t="s">
        <v>353</v>
      </c>
      <c r="B305" s="2" t="s">
        <v>52</v>
      </c>
      <c r="C305" s="2" t="s">
        <v>30</v>
      </c>
      <c r="D305" s="2">
        <v>11</v>
      </c>
      <c r="E305" s="2">
        <v>278.12</v>
      </c>
      <c r="F305" s="2">
        <v>3059.32</v>
      </c>
      <c r="G305" s="3">
        <v>46021</v>
      </c>
      <c r="H305" s="2" t="s">
        <v>17</v>
      </c>
      <c r="I305" s="4" t="s">
        <v>85</v>
      </c>
      <c r="J305" s="12" t="str">
        <f>TEXT(Data[[#This Row],[PurchaseDate]],"ddd")</f>
        <v>Tue</v>
      </c>
      <c r="K305" s="12" t="str">
        <f>TEXT(Data[[#This Row],[PurchaseDate]],"mmm")</f>
        <v>Dec</v>
      </c>
    </row>
    <row r="306" spans="1:11" x14ac:dyDescent="0.25">
      <c r="A306" s="1" t="s">
        <v>354</v>
      </c>
      <c r="B306" s="2" t="s">
        <v>15</v>
      </c>
      <c r="C306" s="2" t="s">
        <v>16</v>
      </c>
      <c r="D306" s="2">
        <v>11</v>
      </c>
      <c r="E306" s="2">
        <v>5.46</v>
      </c>
      <c r="F306" s="2">
        <v>60.06</v>
      </c>
      <c r="G306" s="3">
        <v>45792</v>
      </c>
      <c r="H306" s="2" t="s">
        <v>12</v>
      </c>
      <c r="I306" s="4" t="s">
        <v>39</v>
      </c>
      <c r="J306" s="12" t="str">
        <f>TEXT(Data[[#This Row],[PurchaseDate]],"ddd")</f>
        <v>Thu</v>
      </c>
      <c r="K306" s="12" t="str">
        <f>TEXT(Data[[#This Row],[PurchaseDate]],"mmm")</f>
        <v>May</v>
      </c>
    </row>
    <row r="307" spans="1:11" x14ac:dyDescent="0.25">
      <c r="A307" s="1" t="s">
        <v>355</v>
      </c>
      <c r="B307" s="2" t="s">
        <v>52</v>
      </c>
      <c r="C307" s="2" t="s">
        <v>30</v>
      </c>
      <c r="D307" s="2">
        <v>11</v>
      </c>
      <c r="E307" s="2">
        <v>333.61</v>
      </c>
      <c r="F307" s="2">
        <v>3669.71</v>
      </c>
      <c r="G307" s="3">
        <v>45659</v>
      </c>
      <c r="H307" s="2" t="s">
        <v>24</v>
      </c>
      <c r="I307" s="4" t="s">
        <v>96</v>
      </c>
      <c r="J307" s="12" t="str">
        <f>TEXT(Data[[#This Row],[PurchaseDate]],"ddd")</f>
        <v>Thu</v>
      </c>
      <c r="K307" s="12" t="str">
        <f>TEXT(Data[[#This Row],[PurchaseDate]],"mmm")</f>
        <v>Jan</v>
      </c>
    </row>
    <row r="308" spans="1:11" x14ac:dyDescent="0.25">
      <c r="A308" s="1" t="s">
        <v>356</v>
      </c>
      <c r="B308" s="2" t="s">
        <v>19</v>
      </c>
      <c r="C308" s="2" t="s">
        <v>20</v>
      </c>
      <c r="D308" s="2">
        <v>1</v>
      </c>
      <c r="E308" s="2">
        <v>5454.58</v>
      </c>
      <c r="F308" s="2">
        <v>5454.58</v>
      </c>
      <c r="G308" s="3">
        <v>45888</v>
      </c>
      <c r="H308" s="2" t="s">
        <v>12</v>
      </c>
      <c r="I308" s="4" t="s">
        <v>13</v>
      </c>
      <c r="J308" s="12" t="str">
        <f>TEXT(Data[[#This Row],[PurchaseDate]],"ddd")</f>
        <v>Tue</v>
      </c>
      <c r="K308" s="12" t="str">
        <f>TEXT(Data[[#This Row],[PurchaseDate]],"mmm")</f>
        <v>Aug</v>
      </c>
    </row>
    <row r="309" spans="1:11" x14ac:dyDescent="0.25">
      <c r="A309" s="1" t="s">
        <v>357</v>
      </c>
      <c r="B309" s="2" t="s">
        <v>38</v>
      </c>
      <c r="C309" s="2" t="s">
        <v>23</v>
      </c>
      <c r="D309" s="2">
        <v>6</v>
      </c>
      <c r="E309" s="2">
        <v>19.829999999999998</v>
      </c>
      <c r="F309" s="2">
        <v>118.98</v>
      </c>
      <c r="G309" s="3">
        <v>45755</v>
      </c>
      <c r="H309" s="2" t="s">
        <v>24</v>
      </c>
      <c r="I309" s="4" t="s">
        <v>31</v>
      </c>
      <c r="J309" s="12" t="str">
        <f>TEXT(Data[[#This Row],[PurchaseDate]],"ddd")</f>
        <v>Tue</v>
      </c>
      <c r="K309" s="12" t="str">
        <f>TEXT(Data[[#This Row],[PurchaseDate]],"mmm")</f>
        <v>Apr</v>
      </c>
    </row>
    <row r="310" spans="1:11" x14ac:dyDescent="0.25">
      <c r="A310" s="1" t="s">
        <v>358</v>
      </c>
      <c r="B310" s="2" t="s">
        <v>52</v>
      </c>
      <c r="C310" s="2" t="s">
        <v>30</v>
      </c>
      <c r="D310" s="2">
        <v>18</v>
      </c>
      <c r="E310" s="2">
        <v>246.14</v>
      </c>
      <c r="F310" s="2">
        <v>4430.5200000000004</v>
      </c>
      <c r="G310" s="3">
        <v>45671</v>
      </c>
      <c r="H310" s="2" t="s">
        <v>17</v>
      </c>
      <c r="I310" s="4" t="s">
        <v>27</v>
      </c>
      <c r="J310" s="12" t="str">
        <f>TEXT(Data[[#This Row],[PurchaseDate]],"ddd")</f>
        <v>Tue</v>
      </c>
      <c r="K310" s="12" t="str">
        <f>TEXT(Data[[#This Row],[PurchaseDate]],"mmm")</f>
        <v>Jan</v>
      </c>
    </row>
    <row r="311" spans="1:11" x14ac:dyDescent="0.25">
      <c r="A311" s="1" t="s">
        <v>359</v>
      </c>
      <c r="B311" s="2" t="s">
        <v>54</v>
      </c>
      <c r="C311" s="2" t="s">
        <v>55</v>
      </c>
      <c r="D311" s="2">
        <v>4</v>
      </c>
      <c r="E311" s="2">
        <v>34.130000000000003</v>
      </c>
      <c r="F311" s="2">
        <v>136.52000000000001</v>
      </c>
      <c r="G311" s="3">
        <v>45672</v>
      </c>
      <c r="H311" s="2" t="s">
        <v>17</v>
      </c>
      <c r="I311" s="4" t="s">
        <v>13</v>
      </c>
      <c r="J311" s="12" t="str">
        <f>TEXT(Data[[#This Row],[PurchaseDate]],"ddd")</f>
        <v>Wed</v>
      </c>
      <c r="K311" s="12" t="str">
        <f>TEXT(Data[[#This Row],[PurchaseDate]],"mmm")</f>
        <v>Jan</v>
      </c>
    </row>
    <row r="312" spans="1:11" x14ac:dyDescent="0.25">
      <c r="A312" s="1" t="s">
        <v>360</v>
      </c>
      <c r="B312" s="2" t="s">
        <v>54</v>
      </c>
      <c r="C312" s="2" t="s">
        <v>55</v>
      </c>
      <c r="D312" s="2">
        <v>15</v>
      </c>
      <c r="E312" s="2">
        <v>21.14</v>
      </c>
      <c r="F312" s="2">
        <v>317.10000000000002</v>
      </c>
      <c r="G312" s="3">
        <v>45959</v>
      </c>
      <c r="H312" s="2" t="s">
        <v>43</v>
      </c>
      <c r="I312" s="4" t="s">
        <v>47</v>
      </c>
      <c r="J312" s="12" t="str">
        <f>TEXT(Data[[#This Row],[PurchaseDate]],"ddd")</f>
        <v>Wed</v>
      </c>
      <c r="K312" s="12" t="str">
        <f>TEXT(Data[[#This Row],[PurchaseDate]],"mmm")</f>
        <v>Oct</v>
      </c>
    </row>
    <row r="313" spans="1:11" x14ac:dyDescent="0.25">
      <c r="A313" s="1" t="s">
        <v>361</v>
      </c>
      <c r="B313" s="2" t="s">
        <v>29</v>
      </c>
      <c r="C313" s="2" t="s">
        <v>30</v>
      </c>
      <c r="D313" s="2">
        <v>19</v>
      </c>
      <c r="E313" s="2">
        <v>203.37</v>
      </c>
      <c r="F313" s="2">
        <v>3864.03</v>
      </c>
      <c r="G313" s="3">
        <v>45735</v>
      </c>
      <c r="H313" s="2" t="s">
        <v>17</v>
      </c>
      <c r="I313" s="4" t="s">
        <v>94</v>
      </c>
      <c r="J313" s="12" t="str">
        <f>TEXT(Data[[#This Row],[PurchaseDate]],"ddd")</f>
        <v>Wed</v>
      </c>
      <c r="K313" s="12" t="str">
        <f>TEXT(Data[[#This Row],[PurchaseDate]],"mmm")</f>
        <v>Mar</v>
      </c>
    </row>
    <row r="314" spans="1:11" x14ac:dyDescent="0.25">
      <c r="A314" s="1" t="s">
        <v>362</v>
      </c>
      <c r="B314" s="2" t="s">
        <v>41</v>
      </c>
      <c r="C314" s="2" t="s">
        <v>11</v>
      </c>
      <c r="D314" s="2">
        <v>14</v>
      </c>
      <c r="E314" s="2">
        <v>199.35</v>
      </c>
      <c r="F314" s="2">
        <v>2790.9</v>
      </c>
      <c r="G314" s="3">
        <v>45749</v>
      </c>
      <c r="H314" s="2" t="s">
        <v>43</v>
      </c>
      <c r="I314" s="4" t="s">
        <v>27</v>
      </c>
      <c r="J314" s="12" t="str">
        <f>TEXT(Data[[#This Row],[PurchaseDate]],"ddd")</f>
        <v>Wed</v>
      </c>
      <c r="K314" s="12" t="str">
        <f>TEXT(Data[[#This Row],[PurchaseDate]],"mmm")</f>
        <v>Apr</v>
      </c>
    </row>
    <row r="315" spans="1:11" x14ac:dyDescent="0.25">
      <c r="A315" s="1" t="s">
        <v>363</v>
      </c>
      <c r="B315" s="2" t="s">
        <v>19</v>
      </c>
      <c r="C315" s="2" t="s">
        <v>20</v>
      </c>
      <c r="D315" s="2">
        <v>1</v>
      </c>
      <c r="E315" s="2">
        <v>7229.1</v>
      </c>
      <c r="F315" s="2">
        <v>7229.1</v>
      </c>
      <c r="G315" s="3">
        <v>45789</v>
      </c>
      <c r="H315" s="2" t="s">
        <v>33</v>
      </c>
      <c r="I315" s="4" t="s">
        <v>69</v>
      </c>
      <c r="J315" s="12" t="str">
        <f>TEXT(Data[[#This Row],[PurchaseDate]],"ddd")</f>
        <v>Mon</v>
      </c>
      <c r="K315" s="12" t="str">
        <f>TEXT(Data[[#This Row],[PurchaseDate]],"mmm")</f>
        <v>May</v>
      </c>
    </row>
    <row r="316" spans="1:11" x14ac:dyDescent="0.25">
      <c r="A316" s="1" t="s">
        <v>364</v>
      </c>
      <c r="B316" s="2" t="s">
        <v>15</v>
      </c>
      <c r="C316" s="2" t="s">
        <v>16</v>
      </c>
      <c r="D316" s="2">
        <v>5</v>
      </c>
      <c r="E316" s="2">
        <v>9.6199999999999992</v>
      </c>
      <c r="F316" s="2">
        <v>48.1</v>
      </c>
      <c r="G316" s="3">
        <v>45691</v>
      </c>
      <c r="H316" s="2" t="s">
        <v>43</v>
      </c>
      <c r="I316" s="4" t="s">
        <v>45</v>
      </c>
      <c r="J316" s="12" t="str">
        <f>TEXT(Data[[#This Row],[PurchaseDate]],"ddd")</f>
        <v>Mon</v>
      </c>
      <c r="K316" s="12" t="str">
        <f>TEXT(Data[[#This Row],[PurchaseDate]],"mmm")</f>
        <v>Feb</v>
      </c>
    </row>
    <row r="317" spans="1:11" x14ac:dyDescent="0.25">
      <c r="A317" s="1" t="s">
        <v>365</v>
      </c>
      <c r="B317" s="2" t="s">
        <v>60</v>
      </c>
      <c r="C317" s="2" t="s">
        <v>30</v>
      </c>
      <c r="D317" s="2">
        <v>1</v>
      </c>
      <c r="E317" s="2">
        <v>896.36</v>
      </c>
      <c r="F317" s="2">
        <v>896.36</v>
      </c>
      <c r="G317" s="3">
        <v>45717</v>
      </c>
      <c r="H317" s="2" t="s">
        <v>43</v>
      </c>
      <c r="I317" s="4" t="s">
        <v>31</v>
      </c>
      <c r="J317" s="12" t="str">
        <f>TEXT(Data[[#This Row],[PurchaseDate]],"ddd")</f>
        <v>Sat</v>
      </c>
      <c r="K317" s="12" t="str">
        <f>TEXT(Data[[#This Row],[PurchaseDate]],"mmm")</f>
        <v>Mar</v>
      </c>
    </row>
    <row r="318" spans="1:11" x14ac:dyDescent="0.25">
      <c r="A318" s="1" t="s">
        <v>366</v>
      </c>
      <c r="B318" s="2" t="s">
        <v>22</v>
      </c>
      <c r="C318" s="2" t="s">
        <v>23</v>
      </c>
      <c r="D318" s="2">
        <v>18</v>
      </c>
      <c r="E318" s="2">
        <v>1.77</v>
      </c>
      <c r="F318" s="2">
        <v>31.86</v>
      </c>
      <c r="G318" s="3">
        <v>45761</v>
      </c>
      <c r="H318" s="2" t="s">
        <v>33</v>
      </c>
      <c r="I318" s="4" t="s">
        <v>25</v>
      </c>
      <c r="J318" s="12" t="str">
        <f>TEXT(Data[[#This Row],[PurchaseDate]],"ddd")</f>
        <v>Mon</v>
      </c>
      <c r="K318" s="12" t="str">
        <f>TEXT(Data[[#This Row],[PurchaseDate]],"mmm")</f>
        <v>Apr</v>
      </c>
    </row>
    <row r="319" spans="1:11" x14ac:dyDescent="0.25">
      <c r="A319" s="1" t="s">
        <v>367</v>
      </c>
      <c r="B319" s="2" t="s">
        <v>10</v>
      </c>
      <c r="C319" s="2" t="s">
        <v>11</v>
      </c>
      <c r="D319" s="2">
        <v>19</v>
      </c>
      <c r="E319" s="2">
        <v>153.61000000000001</v>
      </c>
      <c r="F319" s="2">
        <v>2918.59</v>
      </c>
      <c r="G319" s="3">
        <v>45816</v>
      </c>
      <c r="H319" s="2" t="s">
        <v>24</v>
      </c>
      <c r="I319" s="4" t="s">
        <v>58</v>
      </c>
      <c r="J319" s="12" t="str">
        <f>TEXT(Data[[#This Row],[PurchaseDate]],"ddd")</f>
        <v>Sun</v>
      </c>
      <c r="K319" s="12" t="str">
        <f>TEXT(Data[[#This Row],[PurchaseDate]],"mmm")</f>
        <v>Jun</v>
      </c>
    </row>
    <row r="320" spans="1:11" x14ac:dyDescent="0.25">
      <c r="A320" s="1" t="s">
        <v>368</v>
      </c>
      <c r="B320" s="2" t="s">
        <v>41</v>
      </c>
      <c r="C320" s="2" t="s">
        <v>11</v>
      </c>
      <c r="D320" s="2">
        <v>10</v>
      </c>
      <c r="E320" s="2">
        <v>108.63</v>
      </c>
      <c r="F320" s="2">
        <v>1086.3</v>
      </c>
      <c r="G320" s="3">
        <v>45738</v>
      </c>
      <c r="H320" s="2" t="s">
        <v>33</v>
      </c>
      <c r="I320" s="4" t="s">
        <v>45</v>
      </c>
      <c r="J320" s="12" t="str">
        <f>TEXT(Data[[#This Row],[PurchaseDate]],"ddd")</f>
        <v>Sat</v>
      </c>
      <c r="K320" s="12" t="str">
        <f>TEXT(Data[[#This Row],[PurchaseDate]],"mmm")</f>
        <v>Mar</v>
      </c>
    </row>
    <row r="321" spans="1:11" x14ac:dyDescent="0.25">
      <c r="A321" s="1" t="s">
        <v>369</v>
      </c>
      <c r="B321" s="2" t="s">
        <v>38</v>
      </c>
      <c r="C321" s="2" t="s">
        <v>23</v>
      </c>
      <c r="D321" s="2">
        <v>2</v>
      </c>
      <c r="E321" s="2">
        <v>19.46</v>
      </c>
      <c r="F321" s="2">
        <v>38.92</v>
      </c>
      <c r="G321" s="3">
        <v>45885</v>
      </c>
      <c r="H321" s="2" t="s">
        <v>17</v>
      </c>
      <c r="I321" s="4" t="s">
        <v>83</v>
      </c>
      <c r="J321" s="12" t="str">
        <f>TEXT(Data[[#This Row],[PurchaseDate]],"ddd")</f>
        <v>Sat</v>
      </c>
      <c r="K321" s="12" t="str">
        <f>TEXT(Data[[#This Row],[PurchaseDate]],"mmm")</f>
        <v>Aug</v>
      </c>
    </row>
    <row r="322" spans="1:11" x14ac:dyDescent="0.25">
      <c r="A322" s="1" t="s">
        <v>370</v>
      </c>
      <c r="B322" s="2" t="s">
        <v>60</v>
      </c>
      <c r="C322" s="2" t="s">
        <v>30</v>
      </c>
      <c r="D322" s="2">
        <v>18</v>
      </c>
      <c r="E322" s="2">
        <v>876.19</v>
      </c>
      <c r="F322" s="2">
        <v>15771.42</v>
      </c>
      <c r="G322" s="3">
        <v>45848</v>
      </c>
      <c r="H322" s="2" t="s">
        <v>12</v>
      </c>
      <c r="I322" s="4" t="s">
        <v>83</v>
      </c>
      <c r="J322" s="12" t="str">
        <f>TEXT(Data[[#This Row],[PurchaseDate]],"ddd")</f>
        <v>Thu</v>
      </c>
      <c r="K322" s="12" t="str">
        <f>TEXT(Data[[#This Row],[PurchaseDate]],"mmm")</f>
        <v>Jul</v>
      </c>
    </row>
    <row r="323" spans="1:11" x14ac:dyDescent="0.25">
      <c r="A323" s="1" t="s">
        <v>371</v>
      </c>
      <c r="B323" s="2" t="s">
        <v>29</v>
      </c>
      <c r="C323" s="2" t="s">
        <v>30</v>
      </c>
      <c r="D323" s="2">
        <v>11</v>
      </c>
      <c r="E323" s="2">
        <v>162.18</v>
      </c>
      <c r="F323" s="2">
        <v>1783.98</v>
      </c>
      <c r="G323" s="3">
        <v>45940</v>
      </c>
      <c r="H323" s="2" t="s">
        <v>33</v>
      </c>
      <c r="I323" s="4" t="s">
        <v>96</v>
      </c>
      <c r="J323" s="12" t="str">
        <f>TEXT(Data[[#This Row],[PurchaseDate]],"ddd")</f>
        <v>Fri</v>
      </c>
      <c r="K323" s="12" t="str">
        <f>TEXT(Data[[#This Row],[PurchaseDate]],"mmm")</f>
        <v>Oct</v>
      </c>
    </row>
    <row r="324" spans="1:11" x14ac:dyDescent="0.25">
      <c r="A324" s="1" t="s">
        <v>372</v>
      </c>
      <c r="B324" s="2" t="s">
        <v>22</v>
      </c>
      <c r="C324" s="2" t="s">
        <v>23</v>
      </c>
      <c r="D324" s="2">
        <v>1</v>
      </c>
      <c r="E324" s="2">
        <v>1.56</v>
      </c>
      <c r="F324" s="2">
        <v>1.56</v>
      </c>
      <c r="G324" s="3">
        <v>45898</v>
      </c>
      <c r="H324" s="2" t="s">
        <v>12</v>
      </c>
      <c r="I324" s="4" t="s">
        <v>58</v>
      </c>
      <c r="J324" s="12" t="str">
        <f>TEXT(Data[[#This Row],[PurchaseDate]],"ddd")</f>
        <v>Fri</v>
      </c>
      <c r="K324" s="12" t="str">
        <f>TEXT(Data[[#This Row],[PurchaseDate]],"mmm")</f>
        <v>Aug</v>
      </c>
    </row>
    <row r="325" spans="1:11" x14ac:dyDescent="0.25">
      <c r="A325" s="1" t="s">
        <v>373</v>
      </c>
      <c r="B325" s="2" t="s">
        <v>22</v>
      </c>
      <c r="C325" s="2" t="s">
        <v>23</v>
      </c>
      <c r="D325" s="2">
        <v>3</v>
      </c>
      <c r="E325" s="2">
        <v>1.06</v>
      </c>
      <c r="F325" s="2">
        <v>3.18</v>
      </c>
      <c r="G325" s="3">
        <v>45852</v>
      </c>
      <c r="H325" s="2" t="s">
        <v>33</v>
      </c>
      <c r="I325" s="4" t="s">
        <v>49</v>
      </c>
      <c r="J325" s="12" t="str">
        <f>TEXT(Data[[#This Row],[PurchaseDate]],"ddd")</f>
        <v>Mon</v>
      </c>
      <c r="K325" s="12" t="str">
        <f>TEXT(Data[[#This Row],[PurchaseDate]],"mmm")</f>
        <v>Jul</v>
      </c>
    </row>
    <row r="326" spans="1:11" x14ac:dyDescent="0.25">
      <c r="A326" s="1" t="s">
        <v>374</v>
      </c>
      <c r="B326" s="2" t="s">
        <v>19</v>
      </c>
      <c r="C326" s="2" t="s">
        <v>20</v>
      </c>
      <c r="D326" s="2">
        <v>1</v>
      </c>
      <c r="E326" s="2">
        <v>8937.02</v>
      </c>
      <c r="F326" s="2">
        <v>8937.02</v>
      </c>
      <c r="G326" s="3">
        <v>45701</v>
      </c>
      <c r="H326" s="2" t="s">
        <v>43</v>
      </c>
      <c r="I326" s="4" t="s">
        <v>83</v>
      </c>
      <c r="J326" s="12" t="str">
        <f>TEXT(Data[[#This Row],[PurchaseDate]],"ddd")</f>
        <v>Thu</v>
      </c>
      <c r="K326" s="12" t="str">
        <f>TEXT(Data[[#This Row],[PurchaseDate]],"mmm")</f>
        <v>Feb</v>
      </c>
    </row>
    <row r="327" spans="1:11" x14ac:dyDescent="0.25">
      <c r="A327" s="1" t="s">
        <v>375</v>
      </c>
      <c r="B327" s="2" t="s">
        <v>22</v>
      </c>
      <c r="C327" s="2" t="s">
        <v>23</v>
      </c>
      <c r="D327" s="2">
        <v>17</v>
      </c>
      <c r="E327" s="2">
        <v>1.97</v>
      </c>
      <c r="F327" s="2">
        <v>33.49</v>
      </c>
      <c r="G327" s="3">
        <v>45735</v>
      </c>
      <c r="H327" s="2" t="s">
        <v>43</v>
      </c>
      <c r="I327" s="4" t="s">
        <v>58</v>
      </c>
      <c r="J327" s="12" t="str">
        <f>TEXT(Data[[#This Row],[PurchaseDate]],"ddd")</f>
        <v>Wed</v>
      </c>
      <c r="K327" s="12" t="str">
        <f>TEXT(Data[[#This Row],[PurchaseDate]],"mmm")</f>
        <v>Mar</v>
      </c>
    </row>
    <row r="328" spans="1:11" x14ac:dyDescent="0.25">
      <c r="A328" s="1" t="s">
        <v>376</v>
      </c>
      <c r="B328" s="2" t="s">
        <v>10</v>
      </c>
      <c r="C328" s="2" t="s">
        <v>11</v>
      </c>
      <c r="D328" s="2">
        <v>17</v>
      </c>
      <c r="E328" s="2">
        <v>149.52000000000001</v>
      </c>
      <c r="F328" s="2">
        <v>2541.84</v>
      </c>
      <c r="G328" s="3">
        <v>46016</v>
      </c>
      <c r="H328" s="2" t="s">
        <v>12</v>
      </c>
      <c r="I328" s="4" t="s">
        <v>45</v>
      </c>
      <c r="J328" s="12" t="str">
        <f>TEXT(Data[[#This Row],[PurchaseDate]],"ddd")</f>
        <v>Thu</v>
      </c>
      <c r="K328" s="12" t="str">
        <f>TEXT(Data[[#This Row],[PurchaseDate]],"mmm")</f>
        <v>Dec</v>
      </c>
    </row>
    <row r="329" spans="1:11" x14ac:dyDescent="0.25">
      <c r="A329" s="1" t="s">
        <v>377</v>
      </c>
      <c r="B329" s="2" t="s">
        <v>29</v>
      </c>
      <c r="C329" s="2" t="s">
        <v>30</v>
      </c>
      <c r="D329" s="2">
        <v>11</v>
      </c>
      <c r="E329" s="2">
        <v>150.83000000000001</v>
      </c>
      <c r="F329" s="2">
        <v>1659.13</v>
      </c>
      <c r="G329" s="3">
        <v>45840</v>
      </c>
      <c r="H329" s="2" t="s">
        <v>24</v>
      </c>
      <c r="I329" s="4" t="s">
        <v>133</v>
      </c>
      <c r="J329" s="12" t="str">
        <f>TEXT(Data[[#This Row],[PurchaseDate]],"ddd")</f>
        <v>Wed</v>
      </c>
      <c r="K329" s="12" t="str">
        <f>TEXT(Data[[#This Row],[PurchaseDate]],"mmm")</f>
        <v>Jul</v>
      </c>
    </row>
    <row r="330" spans="1:11" x14ac:dyDescent="0.25">
      <c r="A330" s="1" t="s">
        <v>378</v>
      </c>
      <c r="B330" s="2" t="s">
        <v>54</v>
      </c>
      <c r="C330" s="2" t="s">
        <v>55</v>
      </c>
      <c r="D330" s="2">
        <v>19</v>
      </c>
      <c r="E330" s="2">
        <v>25.41</v>
      </c>
      <c r="F330" s="2">
        <v>482.79</v>
      </c>
      <c r="G330" s="3">
        <v>45727</v>
      </c>
      <c r="H330" s="2" t="s">
        <v>24</v>
      </c>
      <c r="I330" s="4" t="s">
        <v>45</v>
      </c>
      <c r="J330" s="12" t="str">
        <f>TEXT(Data[[#This Row],[PurchaseDate]],"ddd")</f>
        <v>Tue</v>
      </c>
      <c r="K330" s="12" t="str">
        <f>TEXT(Data[[#This Row],[PurchaseDate]],"mmm")</f>
        <v>Mar</v>
      </c>
    </row>
    <row r="331" spans="1:11" x14ac:dyDescent="0.25">
      <c r="A331" s="1" t="s">
        <v>379</v>
      </c>
      <c r="B331" s="2" t="s">
        <v>19</v>
      </c>
      <c r="C331" s="2" t="s">
        <v>20</v>
      </c>
      <c r="D331" s="2">
        <v>1</v>
      </c>
      <c r="E331" s="2">
        <v>7000.06</v>
      </c>
      <c r="F331" s="2">
        <v>7000.06</v>
      </c>
      <c r="G331" s="3">
        <v>45662</v>
      </c>
      <c r="H331" s="2" t="s">
        <v>17</v>
      </c>
      <c r="I331" s="4" t="s">
        <v>27</v>
      </c>
      <c r="J331" s="12" t="str">
        <f>TEXT(Data[[#This Row],[PurchaseDate]],"ddd")</f>
        <v>Sun</v>
      </c>
      <c r="K331" s="12" t="str">
        <f>TEXT(Data[[#This Row],[PurchaseDate]],"mmm")</f>
        <v>Jan</v>
      </c>
    </row>
    <row r="332" spans="1:11" x14ac:dyDescent="0.25">
      <c r="A332" s="1" t="s">
        <v>380</v>
      </c>
      <c r="B332" s="2" t="s">
        <v>38</v>
      </c>
      <c r="C332" s="2" t="s">
        <v>23</v>
      </c>
      <c r="D332" s="2">
        <v>9</v>
      </c>
      <c r="E332" s="2">
        <v>19.27</v>
      </c>
      <c r="F332" s="2">
        <v>173.43</v>
      </c>
      <c r="G332" s="3">
        <v>45895</v>
      </c>
      <c r="H332" s="2" t="s">
        <v>33</v>
      </c>
      <c r="I332" s="4" t="s">
        <v>39</v>
      </c>
      <c r="J332" s="12" t="str">
        <f>TEXT(Data[[#This Row],[PurchaseDate]],"ddd")</f>
        <v>Tue</v>
      </c>
      <c r="K332" s="12" t="str">
        <f>TEXT(Data[[#This Row],[PurchaseDate]],"mmm")</f>
        <v>Aug</v>
      </c>
    </row>
    <row r="333" spans="1:11" x14ac:dyDescent="0.25">
      <c r="A333" s="1" t="s">
        <v>381</v>
      </c>
      <c r="B333" s="2" t="s">
        <v>54</v>
      </c>
      <c r="C333" s="2" t="s">
        <v>55</v>
      </c>
      <c r="D333" s="2">
        <v>2</v>
      </c>
      <c r="E333" s="2">
        <v>41.62</v>
      </c>
      <c r="F333" s="2">
        <v>83.24</v>
      </c>
      <c r="G333" s="3">
        <v>45992</v>
      </c>
      <c r="H333" s="2" t="s">
        <v>43</v>
      </c>
      <c r="I333" s="4" t="s">
        <v>56</v>
      </c>
      <c r="J333" s="12" t="str">
        <f>TEXT(Data[[#This Row],[PurchaseDate]],"ddd")</f>
        <v>Mon</v>
      </c>
      <c r="K333" s="12" t="str">
        <f>TEXT(Data[[#This Row],[PurchaseDate]],"mmm")</f>
        <v>Dec</v>
      </c>
    </row>
    <row r="334" spans="1:11" x14ac:dyDescent="0.25">
      <c r="A334" s="1" t="s">
        <v>382</v>
      </c>
      <c r="B334" s="2" t="s">
        <v>60</v>
      </c>
      <c r="C334" s="2" t="s">
        <v>30</v>
      </c>
      <c r="D334" s="2">
        <v>3</v>
      </c>
      <c r="E334" s="2">
        <v>966.1</v>
      </c>
      <c r="F334" s="2">
        <v>2898.3</v>
      </c>
      <c r="G334" s="3">
        <v>45915</v>
      </c>
      <c r="H334" s="2" t="s">
        <v>17</v>
      </c>
      <c r="I334" s="4" t="s">
        <v>83</v>
      </c>
      <c r="J334" s="12" t="str">
        <f>TEXT(Data[[#This Row],[PurchaseDate]],"ddd")</f>
        <v>Mon</v>
      </c>
      <c r="K334" s="12" t="str">
        <f>TEXT(Data[[#This Row],[PurchaseDate]],"mmm")</f>
        <v>Sep</v>
      </c>
    </row>
    <row r="335" spans="1:11" x14ac:dyDescent="0.25">
      <c r="A335" s="1" t="s">
        <v>383</v>
      </c>
      <c r="B335" s="2" t="s">
        <v>10</v>
      </c>
      <c r="C335" s="2" t="s">
        <v>11</v>
      </c>
      <c r="D335" s="2">
        <v>16</v>
      </c>
      <c r="E335" s="2">
        <v>127.25</v>
      </c>
      <c r="F335" s="2">
        <v>2036</v>
      </c>
      <c r="G335" s="3">
        <v>45915</v>
      </c>
      <c r="H335" s="2" t="s">
        <v>17</v>
      </c>
      <c r="I335" s="4" t="s">
        <v>79</v>
      </c>
      <c r="J335" s="12" t="str">
        <f>TEXT(Data[[#This Row],[PurchaseDate]],"ddd")</f>
        <v>Mon</v>
      </c>
      <c r="K335" s="12" t="str">
        <f>TEXT(Data[[#This Row],[PurchaseDate]],"mmm")</f>
        <v>Sep</v>
      </c>
    </row>
    <row r="336" spans="1:11" x14ac:dyDescent="0.25">
      <c r="A336" s="1" t="s">
        <v>384</v>
      </c>
      <c r="B336" s="2" t="s">
        <v>60</v>
      </c>
      <c r="C336" s="2" t="s">
        <v>30</v>
      </c>
      <c r="D336" s="2">
        <v>16</v>
      </c>
      <c r="E336" s="2">
        <v>960.28</v>
      </c>
      <c r="F336" s="2">
        <v>15364.48</v>
      </c>
      <c r="G336" s="3">
        <v>45908</v>
      </c>
      <c r="H336" s="2" t="s">
        <v>33</v>
      </c>
      <c r="I336" s="4" t="s">
        <v>64</v>
      </c>
      <c r="J336" s="12" t="str">
        <f>TEXT(Data[[#This Row],[PurchaseDate]],"ddd")</f>
        <v>Mon</v>
      </c>
      <c r="K336" s="12" t="str">
        <f>TEXT(Data[[#This Row],[PurchaseDate]],"mmm")</f>
        <v>Sep</v>
      </c>
    </row>
    <row r="337" spans="1:11" x14ac:dyDescent="0.25">
      <c r="A337" s="1" t="s">
        <v>385</v>
      </c>
      <c r="B337" s="2" t="s">
        <v>29</v>
      </c>
      <c r="C337" s="2" t="s">
        <v>30</v>
      </c>
      <c r="D337" s="2">
        <v>1</v>
      </c>
      <c r="E337" s="2">
        <v>265.47000000000003</v>
      </c>
      <c r="F337" s="2">
        <v>265.47000000000003</v>
      </c>
      <c r="G337" s="3">
        <v>46008</v>
      </c>
      <c r="H337" s="2" t="s">
        <v>17</v>
      </c>
      <c r="I337" s="4" t="s">
        <v>34</v>
      </c>
      <c r="J337" s="12" t="str">
        <f>TEXT(Data[[#This Row],[PurchaseDate]],"ddd")</f>
        <v>Wed</v>
      </c>
      <c r="K337" s="12" t="str">
        <f>TEXT(Data[[#This Row],[PurchaseDate]],"mmm")</f>
        <v>Dec</v>
      </c>
    </row>
    <row r="338" spans="1:11" x14ac:dyDescent="0.25">
      <c r="A338" s="1" t="s">
        <v>386</v>
      </c>
      <c r="B338" s="2" t="s">
        <v>15</v>
      </c>
      <c r="C338" s="2" t="s">
        <v>16</v>
      </c>
      <c r="D338" s="2">
        <v>5</v>
      </c>
      <c r="E338" s="2">
        <v>9.52</v>
      </c>
      <c r="F338" s="2">
        <v>47.6</v>
      </c>
      <c r="G338" s="3">
        <v>45696</v>
      </c>
      <c r="H338" s="2" t="s">
        <v>17</v>
      </c>
      <c r="I338" s="4" t="s">
        <v>83</v>
      </c>
      <c r="J338" s="12" t="str">
        <f>TEXT(Data[[#This Row],[PurchaseDate]],"ddd")</f>
        <v>Sat</v>
      </c>
      <c r="K338" s="12" t="str">
        <f>TEXT(Data[[#This Row],[PurchaseDate]],"mmm")</f>
        <v>Feb</v>
      </c>
    </row>
    <row r="339" spans="1:11" x14ac:dyDescent="0.25">
      <c r="A339" s="1" t="s">
        <v>387</v>
      </c>
      <c r="B339" s="2" t="s">
        <v>52</v>
      </c>
      <c r="C339" s="2" t="s">
        <v>30</v>
      </c>
      <c r="D339" s="2">
        <v>2</v>
      </c>
      <c r="E339" s="2">
        <v>301.04000000000002</v>
      </c>
      <c r="F339" s="2">
        <v>602.08000000000004</v>
      </c>
      <c r="G339" s="3">
        <v>45673</v>
      </c>
      <c r="H339" s="2" t="s">
        <v>24</v>
      </c>
      <c r="I339" s="4" t="s">
        <v>25</v>
      </c>
      <c r="J339" s="12" t="str">
        <f>TEXT(Data[[#This Row],[PurchaseDate]],"ddd")</f>
        <v>Thu</v>
      </c>
      <c r="K339" s="12" t="str">
        <f>TEXT(Data[[#This Row],[PurchaseDate]],"mmm")</f>
        <v>Jan</v>
      </c>
    </row>
    <row r="340" spans="1:11" x14ac:dyDescent="0.25">
      <c r="A340" s="1" t="s">
        <v>388</v>
      </c>
      <c r="B340" s="2" t="s">
        <v>19</v>
      </c>
      <c r="C340" s="2" t="s">
        <v>20</v>
      </c>
      <c r="D340" s="2">
        <v>1</v>
      </c>
      <c r="E340" s="2">
        <v>9622.4</v>
      </c>
      <c r="F340" s="2">
        <v>9622.4</v>
      </c>
      <c r="G340" s="3">
        <v>45823</v>
      </c>
      <c r="H340" s="2" t="s">
        <v>43</v>
      </c>
      <c r="I340" s="4" t="s">
        <v>27</v>
      </c>
      <c r="J340" s="12" t="str">
        <f>TEXT(Data[[#This Row],[PurchaseDate]],"ddd")</f>
        <v>Sun</v>
      </c>
      <c r="K340" s="12" t="str">
        <f>TEXT(Data[[#This Row],[PurchaseDate]],"mmm")</f>
        <v>Jun</v>
      </c>
    </row>
    <row r="341" spans="1:11" x14ac:dyDescent="0.25">
      <c r="A341" s="1" t="s">
        <v>389</v>
      </c>
      <c r="B341" s="2" t="s">
        <v>38</v>
      </c>
      <c r="C341" s="2" t="s">
        <v>23</v>
      </c>
      <c r="D341" s="2">
        <v>16</v>
      </c>
      <c r="E341" s="2">
        <v>11.46</v>
      </c>
      <c r="F341" s="2">
        <v>183.36</v>
      </c>
      <c r="G341" s="3">
        <v>45894</v>
      </c>
      <c r="H341" s="2" t="s">
        <v>24</v>
      </c>
      <c r="I341" s="4" t="s">
        <v>47</v>
      </c>
      <c r="J341" s="12" t="str">
        <f>TEXT(Data[[#This Row],[PurchaseDate]],"ddd")</f>
        <v>Mon</v>
      </c>
      <c r="K341" s="12" t="str">
        <f>TEXT(Data[[#This Row],[PurchaseDate]],"mmm")</f>
        <v>Aug</v>
      </c>
    </row>
    <row r="342" spans="1:11" x14ac:dyDescent="0.25">
      <c r="A342" s="1" t="s">
        <v>390</v>
      </c>
      <c r="B342" s="2" t="s">
        <v>19</v>
      </c>
      <c r="C342" s="2" t="s">
        <v>20</v>
      </c>
      <c r="D342" s="2">
        <v>1</v>
      </c>
      <c r="E342" s="2">
        <v>6395.36</v>
      </c>
      <c r="F342" s="2">
        <v>6395.36</v>
      </c>
      <c r="G342" s="3">
        <v>45942</v>
      </c>
      <c r="H342" s="2" t="s">
        <v>33</v>
      </c>
      <c r="I342" s="4" t="s">
        <v>25</v>
      </c>
      <c r="J342" s="12" t="str">
        <f>TEXT(Data[[#This Row],[PurchaseDate]],"ddd")</f>
        <v>Sun</v>
      </c>
      <c r="K342" s="12" t="str">
        <f>TEXT(Data[[#This Row],[PurchaseDate]],"mmm")</f>
        <v>Oct</v>
      </c>
    </row>
    <row r="343" spans="1:11" x14ac:dyDescent="0.25">
      <c r="A343" s="1" t="s">
        <v>391</v>
      </c>
      <c r="B343" s="2" t="s">
        <v>41</v>
      </c>
      <c r="C343" s="2" t="s">
        <v>11</v>
      </c>
      <c r="D343" s="2">
        <v>17</v>
      </c>
      <c r="E343" s="2">
        <v>173.45</v>
      </c>
      <c r="F343" s="2">
        <v>2948.65</v>
      </c>
      <c r="G343" s="3">
        <v>45837</v>
      </c>
      <c r="H343" s="2" t="s">
        <v>43</v>
      </c>
      <c r="I343" s="4" t="s">
        <v>13</v>
      </c>
      <c r="J343" s="12" t="str">
        <f>TEXT(Data[[#This Row],[PurchaseDate]],"ddd")</f>
        <v>Sun</v>
      </c>
      <c r="K343" s="12" t="str">
        <f>TEXT(Data[[#This Row],[PurchaseDate]],"mmm")</f>
        <v>Jun</v>
      </c>
    </row>
    <row r="344" spans="1:11" x14ac:dyDescent="0.25">
      <c r="A344" s="1" t="s">
        <v>392</v>
      </c>
      <c r="B344" s="2" t="s">
        <v>15</v>
      </c>
      <c r="C344" s="2" t="s">
        <v>16</v>
      </c>
      <c r="D344" s="2">
        <v>3</v>
      </c>
      <c r="E344" s="2">
        <v>10.16</v>
      </c>
      <c r="F344" s="2">
        <v>30.48</v>
      </c>
      <c r="G344" s="3">
        <v>45667</v>
      </c>
      <c r="H344" s="2" t="s">
        <v>43</v>
      </c>
      <c r="I344" s="4" t="s">
        <v>39</v>
      </c>
      <c r="J344" s="12" t="str">
        <f>TEXT(Data[[#This Row],[PurchaseDate]],"ddd")</f>
        <v>Fri</v>
      </c>
      <c r="K344" s="12" t="str">
        <f>TEXT(Data[[#This Row],[PurchaseDate]],"mmm")</f>
        <v>Jan</v>
      </c>
    </row>
    <row r="345" spans="1:11" x14ac:dyDescent="0.25">
      <c r="A345" s="1" t="s">
        <v>393</v>
      </c>
      <c r="B345" s="2" t="s">
        <v>54</v>
      </c>
      <c r="C345" s="2" t="s">
        <v>55</v>
      </c>
      <c r="D345" s="2">
        <v>4</v>
      </c>
      <c r="E345" s="2">
        <v>45.1</v>
      </c>
      <c r="F345" s="2">
        <v>180.4</v>
      </c>
      <c r="G345" s="3">
        <v>45659</v>
      </c>
      <c r="H345" s="2" t="s">
        <v>12</v>
      </c>
      <c r="I345" s="4" t="s">
        <v>13</v>
      </c>
      <c r="J345" s="12" t="str">
        <f>TEXT(Data[[#This Row],[PurchaseDate]],"ddd")</f>
        <v>Thu</v>
      </c>
      <c r="K345" s="12" t="str">
        <f>TEXT(Data[[#This Row],[PurchaseDate]],"mmm")</f>
        <v>Jan</v>
      </c>
    </row>
    <row r="346" spans="1:11" x14ac:dyDescent="0.25">
      <c r="A346" s="1" t="s">
        <v>394</v>
      </c>
      <c r="B346" s="2" t="s">
        <v>54</v>
      </c>
      <c r="C346" s="2" t="s">
        <v>55</v>
      </c>
      <c r="D346" s="2">
        <v>3</v>
      </c>
      <c r="E346" s="2">
        <v>39.04</v>
      </c>
      <c r="F346" s="2">
        <v>117.12</v>
      </c>
      <c r="G346" s="3">
        <v>45721</v>
      </c>
      <c r="H346" s="2" t="s">
        <v>24</v>
      </c>
      <c r="I346" s="4" t="s">
        <v>64</v>
      </c>
      <c r="J346" s="12" t="str">
        <f>TEXT(Data[[#This Row],[PurchaseDate]],"ddd")</f>
        <v>Wed</v>
      </c>
      <c r="K346" s="12" t="str">
        <f>TEXT(Data[[#This Row],[PurchaseDate]],"mmm")</f>
        <v>Mar</v>
      </c>
    </row>
    <row r="347" spans="1:11" x14ac:dyDescent="0.25">
      <c r="A347" s="1" t="s">
        <v>395</v>
      </c>
      <c r="B347" s="2" t="s">
        <v>41</v>
      </c>
      <c r="C347" s="2" t="s">
        <v>11</v>
      </c>
      <c r="D347" s="2">
        <v>13</v>
      </c>
      <c r="E347" s="2">
        <v>163.63999999999999</v>
      </c>
      <c r="F347" s="2">
        <v>2127.3200000000002</v>
      </c>
      <c r="G347" s="3">
        <v>45727</v>
      </c>
      <c r="H347" s="2" t="s">
        <v>12</v>
      </c>
      <c r="I347" s="4" t="s">
        <v>45</v>
      </c>
      <c r="J347" s="12" t="str">
        <f>TEXT(Data[[#This Row],[PurchaseDate]],"ddd")</f>
        <v>Tue</v>
      </c>
      <c r="K347" s="12" t="str">
        <f>TEXT(Data[[#This Row],[PurchaseDate]],"mmm")</f>
        <v>Mar</v>
      </c>
    </row>
    <row r="348" spans="1:11" x14ac:dyDescent="0.25">
      <c r="A348" s="1" t="s">
        <v>396</v>
      </c>
      <c r="B348" s="2" t="s">
        <v>41</v>
      </c>
      <c r="C348" s="2" t="s">
        <v>11</v>
      </c>
      <c r="D348" s="2">
        <v>2</v>
      </c>
      <c r="E348" s="2">
        <v>171.07</v>
      </c>
      <c r="F348" s="2">
        <v>342.14</v>
      </c>
      <c r="G348" s="3">
        <v>45957</v>
      </c>
      <c r="H348" s="2" t="s">
        <v>33</v>
      </c>
      <c r="I348" s="4" t="s">
        <v>25</v>
      </c>
      <c r="J348" s="12" t="str">
        <f>TEXT(Data[[#This Row],[PurchaseDate]],"ddd")</f>
        <v>Mon</v>
      </c>
      <c r="K348" s="12" t="str">
        <f>TEXT(Data[[#This Row],[PurchaseDate]],"mmm")</f>
        <v>Oct</v>
      </c>
    </row>
    <row r="349" spans="1:11" x14ac:dyDescent="0.25">
      <c r="A349" s="1" t="s">
        <v>397</v>
      </c>
      <c r="B349" s="2" t="s">
        <v>29</v>
      </c>
      <c r="C349" s="2" t="s">
        <v>30</v>
      </c>
      <c r="D349" s="2">
        <v>1</v>
      </c>
      <c r="E349" s="2">
        <v>253.66</v>
      </c>
      <c r="F349" s="2">
        <v>253.66</v>
      </c>
      <c r="G349" s="3">
        <v>45794</v>
      </c>
      <c r="H349" s="2" t="s">
        <v>33</v>
      </c>
      <c r="I349" s="4" t="s">
        <v>47</v>
      </c>
      <c r="J349" s="12" t="str">
        <f>TEXT(Data[[#This Row],[PurchaseDate]],"ddd")</f>
        <v>Sat</v>
      </c>
      <c r="K349" s="12" t="str">
        <f>TEXT(Data[[#This Row],[PurchaseDate]],"mmm")</f>
        <v>May</v>
      </c>
    </row>
    <row r="350" spans="1:11" x14ac:dyDescent="0.25">
      <c r="A350" s="1" t="s">
        <v>398</v>
      </c>
      <c r="B350" s="2" t="s">
        <v>60</v>
      </c>
      <c r="C350" s="2" t="s">
        <v>30</v>
      </c>
      <c r="D350" s="2">
        <v>15</v>
      </c>
      <c r="E350" s="2">
        <v>906.98</v>
      </c>
      <c r="F350" s="2">
        <v>13604.7</v>
      </c>
      <c r="G350" s="3">
        <v>45715</v>
      </c>
      <c r="H350" s="2" t="s">
        <v>17</v>
      </c>
      <c r="I350" s="4" t="s">
        <v>58</v>
      </c>
      <c r="J350" s="12" t="str">
        <f>TEXT(Data[[#This Row],[PurchaseDate]],"ddd")</f>
        <v>Thu</v>
      </c>
      <c r="K350" s="12" t="str">
        <f>TEXT(Data[[#This Row],[PurchaseDate]],"mmm")</f>
        <v>Feb</v>
      </c>
    </row>
    <row r="351" spans="1:11" x14ac:dyDescent="0.25">
      <c r="A351" s="1" t="s">
        <v>399</v>
      </c>
      <c r="B351" s="2" t="s">
        <v>15</v>
      </c>
      <c r="C351" s="2" t="s">
        <v>16</v>
      </c>
      <c r="D351" s="2">
        <v>1</v>
      </c>
      <c r="E351" s="2">
        <v>10.31</v>
      </c>
      <c r="F351" s="2">
        <v>10.31</v>
      </c>
      <c r="G351" s="3">
        <v>45783</v>
      </c>
      <c r="H351" s="2" t="s">
        <v>43</v>
      </c>
      <c r="I351" s="4" t="s">
        <v>27</v>
      </c>
      <c r="J351" s="12" t="str">
        <f>TEXT(Data[[#This Row],[PurchaseDate]],"ddd")</f>
        <v>Tue</v>
      </c>
      <c r="K351" s="12" t="str">
        <f>TEXT(Data[[#This Row],[PurchaseDate]],"mmm")</f>
        <v>May</v>
      </c>
    </row>
    <row r="352" spans="1:11" x14ac:dyDescent="0.25">
      <c r="A352" s="1" t="s">
        <v>400</v>
      </c>
      <c r="B352" s="2" t="s">
        <v>41</v>
      </c>
      <c r="C352" s="2" t="s">
        <v>11</v>
      </c>
      <c r="D352" s="2">
        <v>14</v>
      </c>
      <c r="E352" s="2">
        <v>167.09</v>
      </c>
      <c r="F352" s="2">
        <v>2339.2600000000002</v>
      </c>
      <c r="G352" s="3">
        <v>45702</v>
      </c>
      <c r="H352" s="2" t="s">
        <v>43</v>
      </c>
      <c r="I352" s="4" t="s">
        <v>13</v>
      </c>
      <c r="J352" s="12" t="str">
        <f>TEXT(Data[[#This Row],[PurchaseDate]],"ddd")</f>
        <v>Fri</v>
      </c>
      <c r="K352" s="12" t="str">
        <f>TEXT(Data[[#This Row],[PurchaseDate]],"mmm")</f>
        <v>Feb</v>
      </c>
    </row>
    <row r="353" spans="1:11" x14ac:dyDescent="0.25">
      <c r="A353" s="1" t="s">
        <v>401</v>
      </c>
      <c r="B353" s="2" t="s">
        <v>41</v>
      </c>
      <c r="C353" s="2" t="s">
        <v>11</v>
      </c>
      <c r="D353" s="2">
        <v>8</v>
      </c>
      <c r="E353" s="2">
        <v>140.93</v>
      </c>
      <c r="F353" s="2">
        <v>1127.44</v>
      </c>
      <c r="G353" s="3">
        <v>45750</v>
      </c>
      <c r="H353" s="2" t="s">
        <v>24</v>
      </c>
      <c r="I353" s="4" t="s">
        <v>45</v>
      </c>
      <c r="J353" s="12" t="str">
        <f>TEXT(Data[[#This Row],[PurchaseDate]],"ddd")</f>
        <v>Thu</v>
      </c>
      <c r="K353" s="12" t="str">
        <f>TEXT(Data[[#This Row],[PurchaseDate]],"mmm")</f>
        <v>Apr</v>
      </c>
    </row>
    <row r="354" spans="1:11" x14ac:dyDescent="0.25">
      <c r="A354" s="1" t="s">
        <v>402</v>
      </c>
      <c r="B354" s="2" t="s">
        <v>38</v>
      </c>
      <c r="C354" s="2" t="s">
        <v>23</v>
      </c>
      <c r="D354" s="2">
        <v>19</v>
      </c>
      <c r="E354" s="2">
        <v>18.350000000000001</v>
      </c>
      <c r="F354" s="2">
        <v>348.65</v>
      </c>
      <c r="G354" s="3">
        <v>45947</v>
      </c>
      <c r="H354" s="2" t="s">
        <v>33</v>
      </c>
      <c r="I354" s="4" t="s">
        <v>45</v>
      </c>
      <c r="J354" s="12" t="str">
        <f>TEXT(Data[[#This Row],[PurchaseDate]],"ddd")</f>
        <v>Fri</v>
      </c>
      <c r="K354" s="12" t="str">
        <f>TEXT(Data[[#This Row],[PurchaseDate]],"mmm")</f>
        <v>Oct</v>
      </c>
    </row>
    <row r="355" spans="1:11" x14ac:dyDescent="0.25">
      <c r="A355" s="1" t="s">
        <v>403</v>
      </c>
      <c r="B355" s="2" t="s">
        <v>29</v>
      </c>
      <c r="C355" s="2" t="s">
        <v>30</v>
      </c>
      <c r="D355" s="2">
        <v>14</v>
      </c>
      <c r="E355" s="2">
        <v>209.08</v>
      </c>
      <c r="F355" s="2">
        <v>2927.12</v>
      </c>
      <c r="G355" s="3">
        <v>45846</v>
      </c>
      <c r="H355" s="2" t="s">
        <v>43</v>
      </c>
      <c r="I355" s="4" t="s">
        <v>45</v>
      </c>
      <c r="J355" s="12" t="str">
        <f>TEXT(Data[[#This Row],[PurchaseDate]],"ddd")</f>
        <v>Tue</v>
      </c>
      <c r="K355" s="12" t="str">
        <f>TEXT(Data[[#This Row],[PurchaseDate]],"mmm")</f>
        <v>Jul</v>
      </c>
    </row>
    <row r="356" spans="1:11" x14ac:dyDescent="0.25">
      <c r="A356" s="1" t="s">
        <v>404</v>
      </c>
      <c r="B356" s="2" t="s">
        <v>10</v>
      </c>
      <c r="C356" s="2" t="s">
        <v>11</v>
      </c>
      <c r="D356" s="2">
        <v>11</v>
      </c>
      <c r="E356" s="2">
        <v>173.5</v>
      </c>
      <c r="F356" s="2">
        <v>1908.5</v>
      </c>
      <c r="G356" s="3">
        <v>45890</v>
      </c>
      <c r="H356" s="2" t="s">
        <v>24</v>
      </c>
      <c r="I356" s="4" t="s">
        <v>94</v>
      </c>
      <c r="J356" s="12" t="str">
        <f>TEXT(Data[[#This Row],[PurchaseDate]],"ddd")</f>
        <v>Thu</v>
      </c>
      <c r="K356" s="12" t="str">
        <f>TEXT(Data[[#This Row],[PurchaseDate]],"mmm")</f>
        <v>Aug</v>
      </c>
    </row>
    <row r="357" spans="1:11" x14ac:dyDescent="0.25">
      <c r="A357" s="1" t="s">
        <v>405</v>
      </c>
      <c r="B357" s="2" t="s">
        <v>38</v>
      </c>
      <c r="C357" s="2" t="s">
        <v>23</v>
      </c>
      <c r="D357" s="2">
        <v>8</v>
      </c>
      <c r="E357" s="2">
        <v>15.49</v>
      </c>
      <c r="F357" s="2">
        <v>123.92</v>
      </c>
      <c r="G357" s="3">
        <v>45783</v>
      </c>
      <c r="H357" s="2" t="s">
        <v>43</v>
      </c>
      <c r="I357" s="4" t="s">
        <v>58</v>
      </c>
      <c r="J357" s="12" t="str">
        <f>TEXT(Data[[#This Row],[PurchaseDate]],"ddd")</f>
        <v>Tue</v>
      </c>
      <c r="K357" s="12" t="str">
        <f>TEXT(Data[[#This Row],[PurchaseDate]],"mmm")</f>
        <v>May</v>
      </c>
    </row>
    <row r="358" spans="1:11" x14ac:dyDescent="0.25">
      <c r="A358" s="1" t="s">
        <v>406</v>
      </c>
      <c r="B358" s="2" t="s">
        <v>10</v>
      </c>
      <c r="C358" s="2" t="s">
        <v>11</v>
      </c>
      <c r="D358" s="2">
        <v>18</v>
      </c>
      <c r="E358" s="2">
        <v>125.64</v>
      </c>
      <c r="F358" s="2">
        <v>2261.52</v>
      </c>
      <c r="G358" s="3">
        <v>45904</v>
      </c>
      <c r="H358" s="2" t="s">
        <v>17</v>
      </c>
      <c r="I358" s="4" t="s">
        <v>56</v>
      </c>
      <c r="J358" s="12" t="str">
        <f>TEXT(Data[[#This Row],[PurchaseDate]],"ddd")</f>
        <v>Thu</v>
      </c>
      <c r="K358" s="12" t="str">
        <f>TEXT(Data[[#This Row],[PurchaseDate]],"mmm")</f>
        <v>Sep</v>
      </c>
    </row>
    <row r="359" spans="1:11" x14ac:dyDescent="0.25">
      <c r="A359" s="1" t="s">
        <v>407</v>
      </c>
      <c r="B359" s="2" t="s">
        <v>29</v>
      </c>
      <c r="C359" s="2" t="s">
        <v>30</v>
      </c>
      <c r="D359" s="2">
        <v>5</v>
      </c>
      <c r="E359" s="2">
        <v>227.58</v>
      </c>
      <c r="F359" s="2">
        <v>1137.9000000000001</v>
      </c>
      <c r="G359" s="3">
        <v>45914</v>
      </c>
      <c r="H359" s="2" t="s">
        <v>33</v>
      </c>
      <c r="I359" s="4" t="s">
        <v>94</v>
      </c>
      <c r="J359" s="12" t="str">
        <f>TEXT(Data[[#This Row],[PurchaseDate]],"ddd")</f>
        <v>Sun</v>
      </c>
      <c r="K359" s="12" t="str">
        <f>TEXT(Data[[#This Row],[PurchaseDate]],"mmm")</f>
        <v>Sep</v>
      </c>
    </row>
    <row r="360" spans="1:11" x14ac:dyDescent="0.25">
      <c r="A360" s="1" t="s">
        <v>408</v>
      </c>
      <c r="B360" s="2" t="s">
        <v>10</v>
      </c>
      <c r="C360" s="2" t="s">
        <v>11</v>
      </c>
      <c r="D360" s="2">
        <v>1</v>
      </c>
      <c r="E360" s="2">
        <v>138.94999999999999</v>
      </c>
      <c r="F360" s="2">
        <v>138.94999999999999</v>
      </c>
      <c r="G360" s="3">
        <v>45899</v>
      </c>
      <c r="H360" s="2" t="s">
        <v>43</v>
      </c>
      <c r="I360" s="4" t="s">
        <v>27</v>
      </c>
      <c r="J360" s="12" t="str">
        <f>TEXT(Data[[#This Row],[PurchaseDate]],"ddd")</f>
        <v>Sat</v>
      </c>
      <c r="K360" s="12" t="str">
        <f>TEXT(Data[[#This Row],[PurchaseDate]],"mmm")</f>
        <v>Aug</v>
      </c>
    </row>
    <row r="361" spans="1:11" x14ac:dyDescent="0.25">
      <c r="A361" s="1" t="s">
        <v>409</v>
      </c>
      <c r="B361" s="2" t="s">
        <v>10</v>
      </c>
      <c r="C361" s="2" t="s">
        <v>11</v>
      </c>
      <c r="D361" s="2">
        <v>19</v>
      </c>
      <c r="E361" s="2">
        <v>157.09</v>
      </c>
      <c r="F361" s="2">
        <v>2984.71</v>
      </c>
      <c r="G361" s="3">
        <v>45993</v>
      </c>
      <c r="H361" s="2" t="s">
        <v>33</v>
      </c>
      <c r="I361" s="4" t="s">
        <v>36</v>
      </c>
      <c r="J361" s="12" t="str">
        <f>TEXT(Data[[#This Row],[PurchaseDate]],"ddd")</f>
        <v>Tue</v>
      </c>
      <c r="K361" s="12" t="str">
        <f>TEXT(Data[[#This Row],[PurchaseDate]],"mmm")</f>
        <v>Dec</v>
      </c>
    </row>
    <row r="362" spans="1:11" x14ac:dyDescent="0.25">
      <c r="A362" s="1" t="s">
        <v>410</v>
      </c>
      <c r="B362" s="2" t="s">
        <v>60</v>
      </c>
      <c r="C362" s="2" t="s">
        <v>30</v>
      </c>
      <c r="D362" s="2">
        <v>14</v>
      </c>
      <c r="E362" s="2">
        <v>895.47</v>
      </c>
      <c r="F362" s="2">
        <v>12536.58</v>
      </c>
      <c r="G362" s="3">
        <v>45765</v>
      </c>
      <c r="H362" s="2" t="s">
        <v>12</v>
      </c>
      <c r="I362" s="4" t="s">
        <v>47</v>
      </c>
      <c r="J362" s="12" t="str">
        <f>TEXT(Data[[#This Row],[PurchaseDate]],"ddd")</f>
        <v>Fri</v>
      </c>
      <c r="K362" s="12" t="str">
        <f>TEXT(Data[[#This Row],[PurchaseDate]],"mmm")</f>
        <v>Apr</v>
      </c>
    </row>
    <row r="363" spans="1:11" x14ac:dyDescent="0.25">
      <c r="A363" s="1" t="s">
        <v>411</v>
      </c>
      <c r="B363" s="2" t="s">
        <v>54</v>
      </c>
      <c r="C363" s="2" t="s">
        <v>55</v>
      </c>
      <c r="D363" s="2">
        <v>20</v>
      </c>
      <c r="E363" s="2">
        <v>45.45</v>
      </c>
      <c r="F363" s="2">
        <v>909</v>
      </c>
      <c r="G363" s="3">
        <v>45831</v>
      </c>
      <c r="H363" s="2" t="s">
        <v>12</v>
      </c>
      <c r="I363" s="4" t="s">
        <v>36</v>
      </c>
      <c r="J363" s="12" t="str">
        <f>TEXT(Data[[#This Row],[PurchaseDate]],"ddd")</f>
        <v>Mon</v>
      </c>
      <c r="K363" s="12" t="str">
        <f>TEXT(Data[[#This Row],[PurchaseDate]],"mmm")</f>
        <v>Jun</v>
      </c>
    </row>
    <row r="364" spans="1:11" x14ac:dyDescent="0.25">
      <c r="A364" s="1" t="s">
        <v>412</v>
      </c>
      <c r="B364" s="2" t="s">
        <v>54</v>
      </c>
      <c r="C364" s="2" t="s">
        <v>55</v>
      </c>
      <c r="D364" s="2">
        <v>15</v>
      </c>
      <c r="E364" s="2">
        <v>33.19</v>
      </c>
      <c r="F364" s="2">
        <v>497.85</v>
      </c>
      <c r="G364" s="3">
        <v>45692</v>
      </c>
      <c r="H364" s="2" t="s">
        <v>12</v>
      </c>
      <c r="I364" s="4" t="s">
        <v>36</v>
      </c>
      <c r="J364" s="12" t="str">
        <f>TEXT(Data[[#This Row],[PurchaseDate]],"ddd")</f>
        <v>Tue</v>
      </c>
      <c r="K364" s="12" t="str">
        <f>TEXT(Data[[#This Row],[PurchaseDate]],"mmm")</f>
        <v>Feb</v>
      </c>
    </row>
    <row r="365" spans="1:11" x14ac:dyDescent="0.25">
      <c r="A365" s="1" t="s">
        <v>413</v>
      </c>
      <c r="B365" s="2" t="s">
        <v>54</v>
      </c>
      <c r="C365" s="2" t="s">
        <v>55</v>
      </c>
      <c r="D365" s="2">
        <v>14</v>
      </c>
      <c r="E365" s="2">
        <v>25.83</v>
      </c>
      <c r="F365" s="2">
        <v>361.62</v>
      </c>
      <c r="G365" s="3">
        <v>45957</v>
      </c>
      <c r="H365" s="2" t="s">
        <v>24</v>
      </c>
      <c r="I365" s="4" t="s">
        <v>49</v>
      </c>
      <c r="J365" s="12" t="str">
        <f>TEXT(Data[[#This Row],[PurchaseDate]],"ddd")</f>
        <v>Mon</v>
      </c>
      <c r="K365" s="12" t="str">
        <f>TEXT(Data[[#This Row],[PurchaseDate]],"mmm")</f>
        <v>Oct</v>
      </c>
    </row>
    <row r="366" spans="1:11" x14ac:dyDescent="0.25">
      <c r="A366" s="1" t="s">
        <v>414</v>
      </c>
      <c r="B366" s="2" t="s">
        <v>60</v>
      </c>
      <c r="C366" s="2" t="s">
        <v>30</v>
      </c>
      <c r="D366" s="2">
        <v>16</v>
      </c>
      <c r="E366" s="2">
        <v>811</v>
      </c>
      <c r="F366" s="2">
        <v>12976</v>
      </c>
      <c r="G366" s="3">
        <v>45734</v>
      </c>
      <c r="H366" s="2" t="s">
        <v>24</v>
      </c>
      <c r="I366" s="4" t="s">
        <v>36</v>
      </c>
      <c r="J366" s="12" t="str">
        <f>TEXT(Data[[#This Row],[PurchaseDate]],"ddd")</f>
        <v>Tue</v>
      </c>
      <c r="K366" s="12" t="str">
        <f>TEXT(Data[[#This Row],[PurchaseDate]],"mmm")</f>
        <v>Mar</v>
      </c>
    </row>
    <row r="367" spans="1:11" x14ac:dyDescent="0.25">
      <c r="A367" s="1" t="s">
        <v>415</v>
      </c>
      <c r="B367" s="2" t="s">
        <v>29</v>
      </c>
      <c r="C367" s="2" t="s">
        <v>30</v>
      </c>
      <c r="D367" s="2">
        <v>3</v>
      </c>
      <c r="E367" s="2">
        <v>232.58</v>
      </c>
      <c r="F367" s="2">
        <v>697.74</v>
      </c>
      <c r="G367" s="3">
        <v>45663</v>
      </c>
      <c r="H367" s="2" t="s">
        <v>24</v>
      </c>
      <c r="I367" s="4" t="s">
        <v>58</v>
      </c>
      <c r="J367" s="12" t="str">
        <f>TEXT(Data[[#This Row],[PurchaseDate]],"ddd")</f>
        <v>Mon</v>
      </c>
      <c r="K367" s="12" t="str">
        <f>TEXT(Data[[#This Row],[PurchaseDate]],"mmm")</f>
        <v>Jan</v>
      </c>
    </row>
    <row r="368" spans="1:11" x14ac:dyDescent="0.25">
      <c r="A368" s="1" t="s">
        <v>416</v>
      </c>
      <c r="B368" s="2" t="s">
        <v>60</v>
      </c>
      <c r="C368" s="2" t="s">
        <v>30</v>
      </c>
      <c r="D368" s="2">
        <v>1</v>
      </c>
      <c r="E368" s="2">
        <v>935.7</v>
      </c>
      <c r="F368" s="2">
        <v>935.7</v>
      </c>
      <c r="G368" s="3">
        <v>45991</v>
      </c>
      <c r="H368" s="2" t="s">
        <v>12</v>
      </c>
      <c r="I368" s="4" t="s">
        <v>13</v>
      </c>
      <c r="J368" s="12" t="str">
        <f>TEXT(Data[[#This Row],[PurchaseDate]],"ddd")</f>
        <v>Sun</v>
      </c>
      <c r="K368" s="12" t="str">
        <f>TEXT(Data[[#This Row],[PurchaseDate]],"mmm")</f>
        <v>Nov</v>
      </c>
    </row>
    <row r="369" spans="1:11" x14ac:dyDescent="0.25">
      <c r="A369" s="1" t="s">
        <v>417</v>
      </c>
      <c r="B369" s="2" t="s">
        <v>60</v>
      </c>
      <c r="C369" s="2" t="s">
        <v>30</v>
      </c>
      <c r="D369" s="2">
        <v>9</v>
      </c>
      <c r="E369" s="2">
        <v>931.22</v>
      </c>
      <c r="F369" s="2">
        <v>8380.98</v>
      </c>
      <c r="G369" s="3">
        <v>45687</v>
      </c>
      <c r="H369" s="2" t="s">
        <v>43</v>
      </c>
      <c r="I369" s="4" t="s">
        <v>13</v>
      </c>
      <c r="J369" s="12" t="str">
        <f>TEXT(Data[[#This Row],[PurchaseDate]],"ddd")</f>
        <v>Thu</v>
      </c>
      <c r="K369" s="12" t="str">
        <f>TEXT(Data[[#This Row],[PurchaseDate]],"mmm")</f>
        <v>Jan</v>
      </c>
    </row>
    <row r="370" spans="1:11" x14ac:dyDescent="0.25">
      <c r="A370" s="1" t="s">
        <v>418</v>
      </c>
      <c r="B370" s="2" t="s">
        <v>29</v>
      </c>
      <c r="C370" s="2" t="s">
        <v>30</v>
      </c>
      <c r="D370" s="2">
        <v>9</v>
      </c>
      <c r="E370" s="2">
        <v>291.75</v>
      </c>
      <c r="F370" s="2">
        <v>2625.75</v>
      </c>
      <c r="G370" s="3">
        <v>45666</v>
      </c>
      <c r="H370" s="2" t="s">
        <v>43</v>
      </c>
      <c r="I370" s="4" t="s">
        <v>34</v>
      </c>
      <c r="J370" s="12" t="str">
        <f>TEXT(Data[[#This Row],[PurchaseDate]],"ddd")</f>
        <v>Thu</v>
      </c>
      <c r="K370" s="12" t="str">
        <f>TEXT(Data[[#This Row],[PurchaseDate]],"mmm")</f>
        <v>Jan</v>
      </c>
    </row>
    <row r="371" spans="1:11" x14ac:dyDescent="0.25">
      <c r="A371" s="1" t="s">
        <v>419</v>
      </c>
      <c r="B371" s="2" t="s">
        <v>15</v>
      </c>
      <c r="C371" s="2" t="s">
        <v>16</v>
      </c>
      <c r="D371" s="2">
        <v>14</v>
      </c>
      <c r="E371" s="2">
        <v>11.15</v>
      </c>
      <c r="F371" s="2">
        <v>156.1</v>
      </c>
      <c r="G371" s="3">
        <v>45789</v>
      </c>
      <c r="H371" s="2" t="s">
        <v>33</v>
      </c>
      <c r="I371" s="4" t="s">
        <v>58</v>
      </c>
      <c r="J371" s="12" t="str">
        <f>TEXT(Data[[#This Row],[PurchaseDate]],"ddd")</f>
        <v>Mon</v>
      </c>
      <c r="K371" s="12" t="str">
        <f>TEXT(Data[[#This Row],[PurchaseDate]],"mmm")</f>
        <v>May</v>
      </c>
    </row>
    <row r="372" spans="1:11" x14ac:dyDescent="0.25">
      <c r="A372" s="1" t="s">
        <v>420</v>
      </c>
      <c r="B372" s="2" t="s">
        <v>10</v>
      </c>
      <c r="C372" s="2" t="s">
        <v>11</v>
      </c>
      <c r="D372" s="2">
        <v>17</v>
      </c>
      <c r="E372" s="2">
        <v>160.16</v>
      </c>
      <c r="F372" s="2">
        <v>2722.72</v>
      </c>
      <c r="G372" s="3">
        <v>45975</v>
      </c>
      <c r="H372" s="2" t="s">
        <v>43</v>
      </c>
      <c r="I372" s="4" t="s">
        <v>133</v>
      </c>
      <c r="J372" s="12" t="str">
        <f>TEXT(Data[[#This Row],[PurchaseDate]],"ddd")</f>
        <v>Fri</v>
      </c>
      <c r="K372" s="12" t="str">
        <f>TEXT(Data[[#This Row],[PurchaseDate]],"mmm")</f>
        <v>Nov</v>
      </c>
    </row>
    <row r="373" spans="1:11" x14ac:dyDescent="0.25">
      <c r="A373" s="1" t="s">
        <v>421</v>
      </c>
      <c r="B373" s="2" t="s">
        <v>38</v>
      </c>
      <c r="C373" s="2" t="s">
        <v>23</v>
      </c>
      <c r="D373" s="2">
        <v>4</v>
      </c>
      <c r="E373" s="2">
        <v>12.07</v>
      </c>
      <c r="F373" s="2">
        <v>48.28</v>
      </c>
      <c r="G373" s="3">
        <v>45780</v>
      </c>
      <c r="H373" s="2" t="s">
        <v>33</v>
      </c>
      <c r="I373" s="4" t="s">
        <v>36</v>
      </c>
      <c r="J373" s="12" t="str">
        <f>TEXT(Data[[#This Row],[PurchaseDate]],"ddd")</f>
        <v>Sat</v>
      </c>
      <c r="K373" s="12" t="str">
        <f>TEXT(Data[[#This Row],[PurchaseDate]],"mmm")</f>
        <v>May</v>
      </c>
    </row>
    <row r="374" spans="1:11" x14ac:dyDescent="0.25">
      <c r="A374" s="1" t="s">
        <v>422</v>
      </c>
      <c r="B374" s="2" t="s">
        <v>22</v>
      </c>
      <c r="C374" s="2" t="s">
        <v>23</v>
      </c>
      <c r="D374" s="2">
        <v>7</v>
      </c>
      <c r="E374" s="2">
        <v>1.41</v>
      </c>
      <c r="F374" s="2">
        <v>9.8699999999999992</v>
      </c>
      <c r="G374" s="3">
        <v>45674</v>
      </c>
      <c r="H374" s="2" t="s">
        <v>17</v>
      </c>
      <c r="I374" s="4" t="s">
        <v>31</v>
      </c>
      <c r="J374" s="12" t="str">
        <f>TEXT(Data[[#This Row],[PurchaseDate]],"ddd")</f>
        <v>Fri</v>
      </c>
      <c r="K374" s="12" t="str">
        <f>TEXT(Data[[#This Row],[PurchaseDate]],"mmm")</f>
        <v>Jan</v>
      </c>
    </row>
    <row r="375" spans="1:11" x14ac:dyDescent="0.25">
      <c r="A375" s="1" t="s">
        <v>423</v>
      </c>
      <c r="B375" s="2" t="s">
        <v>41</v>
      </c>
      <c r="C375" s="2" t="s">
        <v>11</v>
      </c>
      <c r="D375" s="2">
        <v>2</v>
      </c>
      <c r="E375" s="2">
        <v>180.47</v>
      </c>
      <c r="F375" s="2">
        <v>360.94</v>
      </c>
      <c r="G375" s="3">
        <v>45701</v>
      </c>
      <c r="H375" s="2" t="s">
        <v>33</v>
      </c>
      <c r="I375" s="4" t="s">
        <v>96</v>
      </c>
      <c r="J375" s="12" t="str">
        <f>TEXT(Data[[#This Row],[PurchaseDate]],"ddd")</f>
        <v>Thu</v>
      </c>
      <c r="K375" s="12" t="str">
        <f>TEXT(Data[[#This Row],[PurchaseDate]],"mmm")</f>
        <v>Feb</v>
      </c>
    </row>
    <row r="376" spans="1:11" x14ac:dyDescent="0.25">
      <c r="A376" s="1" t="s">
        <v>424</v>
      </c>
      <c r="B376" s="2" t="s">
        <v>38</v>
      </c>
      <c r="C376" s="2" t="s">
        <v>23</v>
      </c>
      <c r="D376" s="2">
        <v>4</v>
      </c>
      <c r="E376" s="2">
        <v>19.920000000000002</v>
      </c>
      <c r="F376" s="2">
        <v>79.680000000000007</v>
      </c>
      <c r="G376" s="3">
        <v>45819</v>
      </c>
      <c r="H376" s="2" t="s">
        <v>12</v>
      </c>
      <c r="I376" s="4" t="s">
        <v>39</v>
      </c>
      <c r="J376" s="12" t="str">
        <f>TEXT(Data[[#This Row],[PurchaseDate]],"ddd")</f>
        <v>Wed</v>
      </c>
      <c r="K376" s="12" t="str">
        <f>TEXT(Data[[#This Row],[PurchaseDate]],"mmm")</f>
        <v>Jun</v>
      </c>
    </row>
    <row r="377" spans="1:11" x14ac:dyDescent="0.25">
      <c r="A377" s="1" t="s">
        <v>425</v>
      </c>
      <c r="B377" s="2" t="s">
        <v>52</v>
      </c>
      <c r="C377" s="2" t="s">
        <v>30</v>
      </c>
      <c r="D377" s="2">
        <v>1</v>
      </c>
      <c r="E377" s="2">
        <v>254.54</v>
      </c>
      <c r="F377" s="2">
        <v>254.54</v>
      </c>
      <c r="G377" s="3">
        <v>45668</v>
      </c>
      <c r="H377" s="2" t="s">
        <v>43</v>
      </c>
      <c r="I377" s="4" t="s">
        <v>47</v>
      </c>
      <c r="J377" s="12" t="str">
        <f>TEXT(Data[[#This Row],[PurchaseDate]],"ddd")</f>
        <v>Sat</v>
      </c>
      <c r="K377" s="12" t="str">
        <f>TEXT(Data[[#This Row],[PurchaseDate]],"mmm")</f>
        <v>Jan</v>
      </c>
    </row>
    <row r="378" spans="1:11" x14ac:dyDescent="0.25">
      <c r="A378" s="1" t="s">
        <v>426</v>
      </c>
      <c r="B378" s="2" t="s">
        <v>29</v>
      </c>
      <c r="C378" s="2" t="s">
        <v>30</v>
      </c>
      <c r="D378" s="2">
        <v>19</v>
      </c>
      <c r="E378" s="2">
        <v>286.64999999999998</v>
      </c>
      <c r="F378" s="2">
        <v>5446.35</v>
      </c>
      <c r="G378" s="3">
        <v>45791</v>
      </c>
      <c r="H378" s="2" t="s">
        <v>43</v>
      </c>
      <c r="I378" s="4" t="s">
        <v>13</v>
      </c>
      <c r="J378" s="12" t="str">
        <f>TEXT(Data[[#This Row],[PurchaseDate]],"ddd")</f>
        <v>Wed</v>
      </c>
      <c r="K378" s="12" t="str">
        <f>TEXT(Data[[#This Row],[PurchaseDate]],"mmm")</f>
        <v>May</v>
      </c>
    </row>
    <row r="379" spans="1:11" x14ac:dyDescent="0.25">
      <c r="A379" s="1" t="s">
        <v>427</v>
      </c>
      <c r="B379" s="2" t="s">
        <v>10</v>
      </c>
      <c r="C379" s="2" t="s">
        <v>11</v>
      </c>
      <c r="D379" s="2">
        <v>2</v>
      </c>
      <c r="E379" s="2">
        <v>199.59</v>
      </c>
      <c r="F379" s="2">
        <v>399.18</v>
      </c>
      <c r="G379" s="3">
        <v>45682</v>
      </c>
      <c r="H379" s="2" t="s">
        <v>43</v>
      </c>
      <c r="I379" s="4" t="s">
        <v>13</v>
      </c>
      <c r="J379" s="12" t="str">
        <f>TEXT(Data[[#This Row],[PurchaseDate]],"ddd")</f>
        <v>Sat</v>
      </c>
      <c r="K379" s="12" t="str">
        <f>TEXT(Data[[#This Row],[PurchaseDate]],"mmm")</f>
        <v>Jan</v>
      </c>
    </row>
    <row r="380" spans="1:11" x14ac:dyDescent="0.25">
      <c r="A380" s="1" t="s">
        <v>428</v>
      </c>
      <c r="B380" s="2" t="s">
        <v>15</v>
      </c>
      <c r="C380" s="2" t="s">
        <v>16</v>
      </c>
      <c r="D380" s="2">
        <v>17</v>
      </c>
      <c r="E380" s="2">
        <v>8.77</v>
      </c>
      <c r="F380" s="2">
        <v>149.09</v>
      </c>
      <c r="G380" s="3">
        <v>45670</v>
      </c>
      <c r="H380" s="2" t="s">
        <v>43</v>
      </c>
      <c r="I380" s="4" t="s">
        <v>31</v>
      </c>
      <c r="J380" s="12" t="str">
        <f>TEXT(Data[[#This Row],[PurchaseDate]],"ddd")</f>
        <v>Mon</v>
      </c>
      <c r="K380" s="12" t="str">
        <f>TEXT(Data[[#This Row],[PurchaseDate]],"mmm")</f>
        <v>Jan</v>
      </c>
    </row>
    <row r="381" spans="1:11" x14ac:dyDescent="0.25">
      <c r="A381" s="1" t="s">
        <v>429</v>
      </c>
      <c r="B381" s="2" t="s">
        <v>29</v>
      </c>
      <c r="C381" s="2" t="s">
        <v>30</v>
      </c>
      <c r="D381" s="2">
        <v>18</v>
      </c>
      <c r="E381" s="2">
        <v>168.63</v>
      </c>
      <c r="F381" s="2">
        <v>3035.34</v>
      </c>
      <c r="G381" s="3">
        <v>45908</v>
      </c>
      <c r="H381" s="2" t="s">
        <v>12</v>
      </c>
      <c r="I381" s="4" t="s">
        <v>79</v>
      </c>
      <c r="J381" s="12" t="str">
        <f>TEXT(Data[[#This Row],[PurchaseDate]],"ddd")</f>
        <v>Mon</v>
      </c>
      <c r="K381" s="12" t="str">
        <f>TEXT(Data[[#This Row],[PurchaseDate]],"mmm")</f>
        <v>Sep</v>
      </c>
    </row>
    <row r="382" spans="1:11" x14ac:dyDescent="0.25">
      <c r="A382" s="1" t="s">
        <v>430</v>
      </c>
      <c r="B382" s="2" t="s">
        <v>19</v>
      </c>
      <c r="C382" s="2" t="s">
        <v>20</v>
      </c>
      <c r="D382" s="2">
        <v>1</v>
      </c>
      <c r="E382" s="2">
        <v>6658.84</v>
      </c>
      <c r="F382" s="2">
        <v>6658.84</v>
      </c>
      <c r="G382" s="3">
        <v>45772</v>
      </c>
      <c r="H382" s="2" t="s">
        <v>24</v>
      </c>
      <c r="I382" s="4" t="s">
        <v>36</v>
      </c>
      <c r="J382" s="12" t="str">
        <f>TEXT(Data[[#This Row],[PurchaseDate]],"ddd")</f>
        <v>Fri</v>
      </c>
      <c r="K382" s="12" t="str">
        <f>TEXT(Data[[#This Row],[PurchaseDate]],"mmm")</f>
        <v>Apr</v>
      </c>
    </row>
    <row r="383" spans="1:11" x14ac:dyDescent="0.25">
      <c r="A383" s="1" t="s">
        <v>431</v>
      </c>
      <c r="B383" s="2" t="s">
        <v>29</v>
      </c>
      <c r="C383" s="2" t="s">
        <v>30</v>
      </c>
      <c r="D383" s="2">
        <v>9</v>
      </c>
      <c r="E383" s="2">
        <v>166.38</v>
      </c>
      <c r="F383" s="2">
        <v>1497.42</v>
      </c>
      <c r="G383" s="3">
        <v>45722</v>
      </c>
      <c r="H383" s="2" t="s">
        <v>33</v>
      </c>
      <c r="I383" s="4" t="s">
        <v>47</v>
      </c>
      <c r="J383" s="12" t="str">
        <f>TEXT(Data[[#This Row],[PurchaseDate]],"ddd")</f>
        <v>Thu</v>
      </c>
      <c r="K383" s="12" t="str">
        <f>TEXT(Data[[#This Row],[PurchaseDate]],"mmm")</f>
        <v>Mar</v>
      </c>
    </row>
    <row r="384" spans="1:11" x14ac:dyDescent="0.25">
      <c r="A384" s="1" t="s">
        <v>432</v>
      </c>
      <c r="B384" s="2" t="s">
        <v>60</v>
      </c>
      <c r="C384" s="2" t="s">
        <v>30</v>
      </c>
      <c r="D384" s="2">
        <v>13</v>
      </c>
      <c r="E384" s="2">
        <v>885.9</v>
      </c>
      <c r="F384" s="2">
        <v>11516.7</v>
      </c>
      <c r="G384" s="3">
        <v>46013</v>
      </c>
      <c r="H384" s="2" t="s">
        <v>43</v>
      </c>
      <c r="I384" s="4" t="s">
        <v>49</v>
      </c>
      <c r="J384" s="12" t="str">
        <f>TEXT(Data[[#This Row],[PurchaseDate]],"ddd")</f>
        <v>Mon</v>
      </c>
      <c r="K384" s="12" t="str">
        <f>TEXT(Data[[#This Row],[PurchaseDate]],"mmm")</f>
        <v>Dec</v>
      </c>
    </row>
    <row r="385" spans="1:11" x14ac:dyDescent="0.25">
      <c r="A385" s="1" t="s">
        <v>433</v>
      </c>
      <c r="B385" s="2" t="s">
        <v>52</v>
      </c>
      <c r="C385" s="2" t="s">
        <v>30</v>
      </c>
      <c r="D385" s="2">
        <v>3</v>
      </c>
      <c r="E385" s="2">
        <v>363.3</v>
      </c>
      <c r="F385" s="2">
        <v>1089.9000000000001</v>
      </c>
      <c r="G385" s="3">
        <v>45866</v>
      </c>
      <c r="H385" s="2" t="s">
        <v>12</v>
      </c>
      <c r="I385" s="4" t="s">
        <v>47</v>
      </c>
      <c r="J385" s="12" t="str">
        <f>TEXT(Data[[#This Row],[PurchaseDate]],"ddd")</f>
        <v>Mon</v>
      </c>
      <c r="K385" s="12" t="str">
        <f>TEXT(Data[[#This Row],[PurchaseDate]],"mmm")</f>
        <v>Jul</v>
      </c>
    </row>
    <row r="386" spans="1:11" x14ac:dyDescent="0.25">
      <c r="A386" s="1" t="s">
        <v>434</v>
      </c>
      <c r="B386" s="2" t="s">
        <v>41</v>
      </c>
      <c r="C386" s="2" t="s">
        <v>11</v>
      </c>
      <c r="D386" s="2">
        <v>3</v>
      </c>
      <c r="E386" s="2">
        <v>122.09</v>
      </c>
      <c r="F386" s="2">
        <v>366.27</v>
      </c>
      <c r="G386" s="3">
        <v>45772</v>
      </c>
      <c r="H386" s="2" t="s">
        <v>43</v>
      </c>
      <c r="I386" s="4" t="s">
        <v>27</v>
      </c>
      <c r="J386" s="12" t="str">
        <f>TEXT(Data[[#This Row],[PurchaseDate]],"ddd")</f>
        <v>Fri</v>
      </c>
      <c r="K386" s="12" t="str">
        <f>TEXT(Data[[#This Row],[PurchaseDate]],"mmm")</f>
        <v>Apr</v>
      </c>
    </row>
    <row r="387" spans="1:11" x14ac:dyDescent="0.25">
      <c r="A387" s="1" t="s">
        <v>435</v>
      </c>
      <c r="B387" s="2" t="s">
        <v>29</v>
      </c>
      <c r="C387" s="2" t="s">
        <v>30</v>
      </c>
      <c r="D387" s="2">
        <v>10</v>
      </c>
      <c r="E387" s="2">
        <v>171.14</v>
      </c>
      <c r="F387" s="2">
        <v>1711.4</v>
      </c>
      <c r="G387" s="3">
        <v>45717</v>
      </c>
      <c r="H387" s="2" t="s">
        <v>33</v>
      </c>
      <c r="I387" s="4" t="s">
        <v>13</v>
      </c>
      <c r="J387" s="12" t="str">
        <f>TEXT(Data[[#This Row],[PurchaseDate]],"ddd")</f>
        <v>Sat</v>
      </c>
      <c r="K387" s="12" t="str">
        <f>TEXT(Data[[#This Row],[PurchaseDate]],"mmm")</f>
        <v>Mar</v>
      </c>
    </row>
    <row r="388" spans="1:11" x14ac:dyDescent="0.25">
      <c r="A388" s="1" t="s">
        <v>436</v>
      </c>
      <c r="B388" s="2" t="s">
        <v>60</v>
      </c>
      <c r="C388" s="2" t="s">
        <v>30</v>
      </c>
      <c r="D388" s="2">
        <v>8</v>
      </c>
      <c r="E388" s="2">
        <v>949.48</v>
      </c>
      <c r="F388" s="2">
        <v>7595.84</v>
      </c>
      <c r="G388" s="3">
        <v>45799</v>
      </c>
      <c r="H388" s="2" t="s">
        <v>12</v>
      </c>
      <c r="I388" s="4" t="s">
        <v>34</v>
      </c>
      <c r="J388" s="12" t="str">
        <f>TEXT(Data[[#This Row],[PurchaseDate]],"ddd")</f>
        <v>Thu</v>
      </c>
      <c r="K388" s="12" t="str">
        <f>TEXT(Data[[#This Row],[PurchaseDate]],"mmm")</f>
        <v>May</v>
      </c>
    </row>
    <row r="389" spans="1:11" x14ac:dyDescent="0.25">
      <c r="A389" s="1" t="s">
        <v>437</v>
      </c>
      <c r="B389" s="2" t="s">
        <v>19</v>
      </c>
      <c r="C389" s="2" t="s">
        <v>20</v>
      </c>
      <c r="D389" s="2">
        <v>1</v>
      </c>
      <c r="E389" s="2">
        <v>5284.47</v>
      </c>
      <c r="F389" s="2">
        <v>5284.47</v>
      </c>
      <c r="G389" s="3">
        <v>45857</v>
      </c>
      <c r="H389" s="2" t="s">
        <v>17</v>
      </c>
      <c r="I389" s="4" t="s">
        <v>58</v>
      </c>
      <c r="J389" s="12" t="str">
        <f>TEXT(Data[[#This Row],[PurchaseDate]],"ddd")</f>
        <v>Sat</v>
      </c>
      <c r="K389" s="12" t="str">
        <f>TEXT(Data[[#This Row],[PurchaseDate]],"mmm")</f>
        <v>Jul</v>
      </c>
    </row>
    <row r="390" spans="1:11" x14ac:dyDescent="0.25">
      <c r="A390" s="1" t="s">
        <v>438</v>
      </c>
      <c r="B390" s="2" t="s">
        <v>54</v>
      </c>
      <c r="C390" s="2" t="s">
        <v>55</v>
      </c>
      <c r="D390" s="2">
        <v>18</v>
      </c>
      <c r="E390" s="2">
        <v>43.54</v>
      </c>
      <c r="F390" s="2">
        <v>783.72</v>
      </c>
      <c r="G390" s="3">
        <v>45743</v>
      </c>
      <c r="H390" s="2" t="s">
        <v>24</v>
      </c>
      <c r="I390" s="4" t="s">
        <v>45</v>
      </c>
      <c r="J390" s="12" t="str">
        <f>TEXT(Data[[#This Row],[PurchaseDate]],"ddd")</f>
        <v>Thu</v>
      </c>
      <c r="K390" s="12" t="str">
        <f>TEXT(Data[[#This Row],[PurchaseDate]],"mmm")</f>
        <v>Mar</v>
      </c>
    </row>
    <row r="391" spans="1:11" x14ac:dyDescent="0.25">
      <c r="A391" s="1" t="s">
        <v>439</v>
      </c>
      <c r="B391" s="2" t="s">
        <v>52</v>
      </c>
      <c r="C391" s="2" t="s">
        <v>30</v>
      </c>
      <c r="D391" s="2">
        <v>13</v>
      </c>
      <c r="E391" s="2">
        <v>325.75</v>
      </c>
      <c r="F391" s="2">
        <v>4234.75</v>
      </c>
      <c r="G391" s="3">
        <v>45844</v>
      </c>
      <c r="H391" s="2" t="s">
        <v>12</v>
      </c>
      <c r="I391" s="4" t="s">
        <v>31</v>
      </c>
      <c r="J391" s="12" t="str">
        <f>TEXT(Data[[#This Row],[PurchaseDate]],"ddd")</f>
        <v>Sun</v>
      </c>
      <c r="K391" s="12" t="str">
        <f>TEXT(Data[[#This Row],[PurchaseDate]],"mmm")</f>
        <v>Jul</v>
      </c>
    </row>
    <row r="392" spans="1:11" x14ac:dyDescent="0.25">
      <c r="A392" s="1" t="s">
        <v>440</v>
      </c>
      <c r="B392" s="2" t="s">
        <v>15</v>
      </c>
      <c r="C392" s="2" t="s">
        <v>16</v>
      </c>
      <c r="D392" s="2">
        <v>3</v>
      </c>
      <c r="E392" s="2">
        <v>10.6</v>
      </c>
      <c r="F392" s="2">
        <v>31.8</v>
      </c>
      <c r="G392" s="3">
        <v>45809</v>
      </c>
      <c r="H392" s="2" t="s">
        <v>43</v>
      </c>
      <c r="I392" s="4" t="s">
        <v>85</v>
      </c>
      <c r="J392" s="12" t="str">
        <f>TEXT(Data[[#This Row],[PurchaseDate]],"ddd")</f>
        <v>Sun</v>
      </c>
      <c r="K392" s="12" t="str">
        <f>TEXT(Data[[#This Row],[PurchaseDate]],"mmm")</f>
        <v>Jun</v>
      </c>
    </row>
    <row r="393" spans="1:11" x14ac:dyDescent="0.25">
      <c r="A393" s="1" t="s">
        <v>441</v>
      </c>
      <c r="B393" s="2" t="s">
        <v>22</v>
      </c>
      <c r="C393" s="2" t="s">
        <v>23</v>
      </c>
      <c r="D393" s="2">
        <v>14</v>
      </c>
      <c r="E393" s="2">
        <v>1.61</v>
      </c>
      <c r="F393" s="2">
        <v>22.54</v>
      </c>
      <c r="G393" s="3">
        <v>45778</v>
      </c>
      <c r="H393" s="2" t="s">
        <v>12</v>
      </c>
      <c r="I393" s="4" t="s">
        <v>58</v>
      </c>
      <c r="J393" s="12" t="str">
        <f>TEXT(Data[[#This Row],[PurchaseDate]],"ddd")</f>
        <v>Thu</v>
      </c>
      <c r="K393" s="12" t="str">
        <f>TEXT(Data[[#This Row],[PurchaseDate]],"mmm")</f>
        <v>May</v>
      </c>
    </row>
    <row r="394" spans="1:11" x14ac:dyDescent="0.25">
      <c r="A394" s="1" t="s">
        <v>442</v>
      </c>
      <c r="B394" s="2" t="s">
        <v>41</v>
      </c>
      <c r="C394" s="2" t="s">
        <v>11</v>
      </c>
      <c r="D394" s="2">
        <v>13</v>
      </c>
      <c r="E394" s="2">
        <v>149.83000000000001</v>
      </c>
      <c r="F394" s="2">
        <v>1947.79</v>
      </c>
      <c r="G394" s="3">
        <v>45673</v>
      </c>
      <c r="H394" s="2" t="s">
        <v>43</v>
      </c>
      <c r="I394" s="4" t="s">
        <v>27</v>
      </c>
      <c r="J394" s="12" t="str">
        <f>TEXT(Data[[#This Row],[PurchaseDate]],"ddd")</f>
        <v>Thu</v>
      </c>
      <c r="K394" s="12" t="str">
        <f>TEXT(Data[[#This Row],[PurchaseDate]],"mmm")</f>
        <v>Jan</v>
      </c>
    </row>
    <row r="395" spans="1:11" x14ac:dyDescent="0.25">
      <c r="A395" s="1" t="s">
        <v>443</v>
      </c>
      <c r="B395" s="2" t="s">
        <v>52</v>
      </c>
      <c r="C395" s="2" t="s">
        <v>30</v>
      </c>
      <c r="D395" s="2">
        <v>12</v>
      </c>
      <c r="E395" s="2">
        <v>262.86</v>
      </c>
      <c r="F395" s="2">
        <v>3154.32</v>
      </c>
      <c r="G395" s="3">
        <v>45982</v>
      </c>
      <c r="H395" s="2" t="s">
        <v>24</v>
      </c>
      <c r="I395" s="4" t="s">
        <v>31</v>
      </c>
      <c r="J395" s="12" t="str">
        <f>TEXT(Data[[#This Row],[PurchaseDate]],"ddd")</f>
        <v>Fri</v>
      </c>
      <c r="K395" s="12" t="str">
        <f>TEXT(Data[[#This Row],[PurchaseDate]],"mmm")</f>
        <v>Nov</v>
      </c>
    </row>
    <row r="396" spans="1:11" x14ac:dyDescent="0.25">
      <c r="A396" s="1" t="s">
        <v>444</v>
      </c>
      <c r="B396" s="2" t="s">
        <v>19</v>
      </c>
      <c r="C396" s="2" t="s">
        <v>20</v>
      </c>
      <c r="D396" s="2">
        <v>1</v>
      </c>
      <c r="E396" s="2">
        <v>9550.0499999999993</v>
      </c>
      <c r="F396" s="2">
        <v>9550.0499999999993</v>
      </c>
      <c r="G396" s="3">
        <v>45789</v>
      </c>
      <c r="H396" s="2" t="s">
        <v>24</v>
      </c>
      <c r="I396" s="4" t="s">
        <v>69</v>
      </c>
      <c r="J396" s="12" t="str">
        <f>TEXT(Data[[#This Row],[PurchaseDate]],"ddd")</f>
        <v>Mon</v>
      </c>
      <c r="K396" s="12" t="str">
        <f>TEXT(Data[[#This Row],[PurchaseDate]],"mmm")</f>
        <v>May</v>
      </c>
    </row>
    <row r="397" spans="1:11" x14ac:dyDescent="0.25">
      <c r="A397" s="1" t="s">
        <v>445</v>
      </c>
      <c r="B397" s="2" t="s">
        <v>52</v>
      </c>
      <c r="C397" s="2" t="s">
        <v>30</v>
      </c>
      <c r="D397" s="2">
        <v>3</v>
      </c>
      <c r="E397" s="2">
        <v>294.24</v>
      </c>
      <c r="F397" s="2">
        <v>882.72</v>
      </c>
      <c r="G397" s="3">
        <v>45726</v>
      </c>
      <c r="H397" s="2" t="s">
        <v>24</v>
      </c>
      <c r="I397" s="4" t="s">
        <v>79</v>
      </c>
      <c r="J397" s="12" t="str">
        <f>TEXT(Data[[#This Row],[PurchaseDate]],"ddd")</f>
        <v>Mon</v>
      </c>
      <c r="K397" s="12" t="str">
        <f>TEXT(Data[[#This Row],[PurchaseDate]],"mmm")</f>
        <v>Mar</v>
      </c>
    </row>
    <row r="398" spans="1:11" x14ac:dyDescent="0.25">
      <c r="A398" s="1" t="s">
        <v>446</v>
      </c>
      <c r="B398" s="2" t="s">
        <v>41</v>
      </c>
      <c r="C398" s="2" t="s">
        <v>11</v>
      </c>
      <c r="D398" s="2">
        <v>2</v>
      </c>
      <c r="E398" s="2">
        <v>133.13</v>
      </c>
      <c r="F398" s="2">
        <v>266.26</v>
      </c>
      <c r="G398" s="3">
        <v>45983</v>
      </c>
      <c r="H398" s="2" t="s">
        <v>43</v>
      </c>
      <c r="I398" s="4" t="s">
        <v>79</v>
      </c>
      <c r="J398" s="12" t="str">
        <f>TEXT(Data[[#This Row],[PurchaseDate]],"ddd")</f>
        <v>Sat</v>
      </c>
      <c r="K398" s="12" t="str">
        <f>TEXT(Data[[#This Row],[PurchaseDate]],"mmm")</f>
        <v>Nov</v>
      </c>
    </row>
    <row r="399" spans="1:11" x14ac:dyDescent="0.25">
      <c r="A399" s="1" t="s">
        <v>447</v>
      </c>
      <c r="B399" s="2" t="s">
        <v>41</v>
      </c>
      <c r="C399" s="2" t="s">
        <v>11</v>
      </c>
      <c r="D399" s="2">
        <v>19</v>
      </c>
      <c r="E399" s="2">
        <v>166.68</v>
      </c>
      <c r="F399" s="2">
        <v>3166.92</v>
      </c>
      <c r="G399" s="3">
        <v>45901</v>
      </c>
      <c r="H399" s="2" t="s">
        <v>24</v>
      </c>
      <c r="I399" s="4" t="s">
        <v>47</v>
      </c>
      <c r="J399" s="12" t="str">
        <f>TEXT(Data[[#This Row],[PurchaseDate]],"ddd")</f>
        <v>Mon</v>
      </c>
      <c r="K399" s="12" t="str">
        <f>TEXT(Data[[#This Row],[PurchaseDate]],"mmm")</f>
        <v>Sep</v>
      </c>
    </row>
    <row r="400" spans="1:11" x14ac:dyDescent="0.25">
      <c r="A400" s="1" t="s">
        <v>448</v>
      </c>
      <c r="B400" s="2" t="s">
        <v>22</v>
      </c>
      <c r="C400" s="2" t="s">
        <v>23</v>
      </c>
      <c r="D400" s="2">
        <v>6</v>
      </c>
      <c r="E400" s="2">
        <v>1.56</v>
      </c>
      <c r="F400" s="2">
        <v>9.36</v>
      </c>
      <c r="G400" s="3">
        <v>46003</v>
      </c>
      <c r="H400" s="2" t="s">
        <v>43</v>
      </c>
      <c r="I400" s="4" t="s">
        <v>133</v>
      </c>
      <c r="J400" s="12" t="str">
        <f>TEXT(Data[[#This Row],[PurchaseDate]],"ddd")</f>
        <v>Fri</v>
      </c>
      <c r="K400" s="12" t="str">
        <f>TEXT(Data[[#This Row],[PurchaseDate]],"mmm")</f>
        <v>Dec</v>
      </c>
    </row>
    <row r="401" spans="1:11" x14ac:dyDescent="0.25">
      <c r="A401" s="1" t="s">
        <v>449</v>
      </c>
      <c r="B401" s="2" t="s">
        <v>29</v>
      </c>
      <c r="C401" s="2" t="s">
        <v>30</v>
      </c>
      <c r="D401" s="2">
        <v>2</v>
      </c>
      <c r="E401" s="2">
        <v>219.62</v>
      </c>
      <c r="F401" s="2">
        <v>439.24</v>
      </c>
      <c r="G401" s="3">
        <v>45912</v>
      </c>
      <c r="H401" s="2" t="s">
        <v>12</v>
      </c>
      <c r="I401" s="4" t="s">
        <v>64</v>
      </c>
      <c r="J401" s="12" t="str">
        <f>TEXT(Data[[#This Row],[PurchaseDate]],"ddd")</f>
        <v>Fri</v>
      </c>
      <c r="K401" s="12" t="str">
        <f>TEXT(Data[[#This Row],[PurchaseDate]],"mmm")</f>
        <v>Sep</v>
      </c>
    </row>
    <row r="402" spans="1:11" x14ac:dyDescent="0.25">
      <c r="A402" s="1" t="s">
        <v>450</v>
      </c>
      <c r="B402" s="2" t="s">
        <v>54</v>
      </c>
      <c r="C402" s="2" t="s">
        <v>55</v>
      </c>
      <c r="D402" s="2">
        <v>9</v>
      </c>
      <c r="E402" s="2">
        <v>22.03</v>
      </c>
      <c r="F402" s="2">
        <v>198.27</v>
      </c>
      <c r="G402" s="3">
        <v>45848</v>
      </c>
      <c r="H402" s="2" t="s">
        <v>33</v>
      </c>
      <c r="I402" s="4" t="s">
        <v>47</v>
      </c>
      <c r="J402" s="12" t="str">
        <f>TEXT(Data[[#This Row],[PurchaseDate]],"ddd")</f>
        <v>Thu</v>
      </c>
      <c r="K402" s="12" t="str">
        <f>TEXT(Data[[#This Row],[PurchaseDate]],"mmm")</f>
        <v>Jul</v>
      </c>
    </row>
    <row r="403" spans="1:11" x14ac:dyDescent="0.25">
      <c r="A403" s="1" t="s">
        <v>451</v>
      </c>
      <c r="B403" s="2" t="s">
        <v>29</v>
      </c>
      <c r="C403" s="2" t="s">
        <v>30</v>
      </c>
      <c r="D403" s="2">
        <v>11</v>
      </c>
      <c r="E403" s="2">
        <v>249.71</v>
      </c>
      <c r="F403" s="2">
        <v>2746.81</v>
      </c>
      <c r="G403" s="3">
        <v>45981</v>
      </c>
      <c r="H403" s="2" t="s">
        <v>43</v>
      </c>
      <c r="I403" s="4" t="s">
        <v>47</v>
      </c>
      <c r="J403" s="12" t="str">
        <f>TEXT(Data[[#This Row],[PurchaseDate]],"ddd")</f>
        <v>Thu</v>
      </c>
      <c r="K403" s="12" t="str">
        <f>TEXT(Data[[#This Row],[PurchaseDate]],"mmm")</f>
        <v>Nov</v>
      </c>
    </row>
    <row r="404" spans="1:11" x14ac:dyDescent="0.25">
      <c r="A404" s="1" t="s">
        <v>452</v>
      </c>
      <c r="B404" s="2" t="s">
        <v>15</v>
      </c>
      <c r="C404" s="2" t="s">
        <v>16</v>
      </c>
      <c r="D404" s="2">
        <v>9</v>
      </c>
      <c r="E404" s="2">
        <v>7.9</v>
      </c>
      <c r="F404" s="2">
        <v>71.099999999999994</v>
      </c>
      <c r="G404" s="3">
        <v>45981</v>
      </c>
      <c r="H404" s="2" t="s">
        <v>17</v>
      </c>
      <c r="I404" s="4" t="s">
        <v>49</v>
      </c>
      <c r="J404" s="12" t="str">
        <f>TEXT(Data[[#This Row],[PurchaseDate]],"ddd")</f>
        <v>Thu</v>
      </c>
      <c r="K404" s="12" t="str">
        <f>TEXT(Data[[#This Row],[PurchaseDate]],"mmm")</f>
        <v>Nov</v>
      </c>
    </row>
    <row r="405" spans="1:11" x14ac:dyDescent="0.25">
      <c r="A405" s="1" t="s">
        <v>453</v>
      </c>
      <c r="B405" s="2" t="s">
        <v>60</v>
      </c>
      <c r="C405" s="2" t="s">
        <v>30</v>
      </c>
      <c r="D405" s="2">
        <v>20</v>
      </c>
      <c r="E405" s="2">
        <v>924.73</v>
      </c>
      <c r="F405" s="2">
        <v>18494.599999999999</v>
      </c>
      <c r="G405" s="3">
        <v>45798</v>
      </c>
      <c r="H405" s="2" t="s">
        <v>17</v>
      </c>
      <c r="I405" s="4" t="s">
        <v>47</v>
      </c>
      <c r="J405" s="12" t="str">
        <f>TEXT(Data[[#This Row],[PurchaseDate]],"ddd")</f>
        <v>Wed</v>
      </c>
      <c r="K405" s="12" t="str">
        <f>TEXT(Data[[#This Row],[PurchaseDate]],"mmm")</f>
        <v>May</v>
      </c>
    </row>
    <row r="406" spans="1:11" x14ac:dyDescent="0.25">
      <c r="A406" s="1" t="s">
        <v>454</v>
      </c>
      <c r="B406" s="2" t="s">
        <v>19</v>
      </c>
      <c r="C406" s="2" t="s">
        <v>20</v>
      </c>
      <c r="D406" s="2">
        <v>1</v>
      </c>
      <c r="E406" s="2">
        <v>7430.94</v>
      </c>
      <c r="F406" s="2">
        <v>7430.94</v>
      </c>
      <c r="G406" s="3">
        <v>45756</v>
      </c>
      <c r="H406" s="2" t="s">
        <v>33</v>
      </c>
      <c r="I406" s="4" t="s">
        <v>25</v>
      </c>
      <c r="J406" s="12" t="str">
        <f>TEXT(Data[[#This Row],[PurchaseDate]],"ddd")</f>
        <v>Wed</v>
      </c>
      <c r="K406" s="12" t="str">
        <f>TEXT(Data[[#This Row],[PurchaseDate]],"mmm")</f>
        <v>Apr</v>
      </c>
    </row>
    <row r="407" spans="1:11" x14ac:dyDescent="0.25">
      <c r="A407" s="1" t="s">
        <v>455</v>
      </c>
      <c r="B407" s="2" t="s">
        <v>60</v>
      </c>
      <c r="C407" s="2" t="s">
        <v>30</v>
      </c>
      <c r="D407" s="2">
        <v>5</v>
      </c>
      <c r="E407" s="2">
        <v>840.12</v>
      </c>
      <c r="F407" s="2">
        <v>4200.6000000000004</v>
      </c>
      <c r="G407" s="3">
        <v>45927</v>
      </c>
      <c r="H407" s="2" t="s">
        <v>12</v>
      </c>
      <c r="I407" s="4" t="s">
        <v>13</v>
      </c>
      <c r="J407" s="12" t="str">
        <f>TEXT(Data[[#This Row],[PurchaseDate]],"ddd")</f>
        <v>Sat</v>
      </c>
      <c r="K407" s="12" t="str">
        <f>TEXT(Data[[#This Row],[PurchaseDate]],"mmm")</f>
        <v>Sep</v>
      </c>
    </row>
    <row r="408" spans="1:11" x14ac:dyDescent="0.25">
      <c r="A408" s="1" t="s">
        <v>456</v>
      </c>
      <c r="B408" s="2" t="s">
        <v>22</v>
      </c>
      <c r="C408" s="2" t="s">
        <v>23</v>
      </c>
      <c r="D408" s="2">
        <v>16</v>
      </c>
      <c r="E408" s="2">
        <v>2.67</v>
      </c>
      <c r="F408" s="2">
        <v>42.72</v>
      </c>
      <c r="G408" s="3">
        <v>45726</v>
      </c>
      <c r="H408" s="2" t="s">
        <v>12</v>
      </c>
      <c r="I408" s="4" t="s">
        <v>58</v>
      </c>
      <c r="J408" s="12" t="str">
        <f>TEXT(Data[[#This Row],[PurchaseDate]],"ddd")</f>
        <v>Mon</v>
      </c>
      <c r="K408" s="12" t="str">
        <f>TEXT(Data[[#This Row],[PurchaseDate]],"mmm")</f>
        <v>Mar</v>
      </c>
    </row>
    <row r="409" spans="1:11" x14ac:dyDescent="0.25">
      <c r="A409" s="1" t="s">
        <v>457</v>
      </c>
      <c r="B409" s="2" t="s">
        <v>52</v>
      </c>
      <c r="C409" s="2" t="s">
        <v>30</v>
      </c>
      <c r="D409" s="2">
        <v>11</v>
      </c>
      <c r="E409" s="2">
        <v>230.1</v>
      </c>
      <c r="F409" s="2">
        <v>2531.1</v>
      </c>
      <c r="G409" s="3">
        <v>46015</v>
      </c>
      <c r="H409" s="2" t="s">
        <v>12</v>
      </c>
      <c r="I409" s="4" t="s">
        <v>45</v>
      </c>
      <c r="J409" s="12" t="str">
        <f>TEXT(Data[[#This Row],[PurchaseDate]],"ddd")</f>
        <v>Wed</v>
      </c>
      <c r="K409" s="12" t="str">
        <f>TEXT(Data[[#This Row],[PurchaseDate]],"mmm")</f>
        <v>Dec</v>
      </c>
    </row>
    <row r="410" spans="1:11" x14ac:dyDescent="0.25">
      <c r="A410" s="1" t="s">
        <v>458</v>
      </c>
      <c r="B410" s="2" t="s">
        <v>54</v>
      </c>
      <c r="C410" s="2" t="s">
        <v>55</v>
      </c>
      <c r="D410" s="2">
        <v>16</v>
      </c>
      <c r="E410" s="2">
        <v>30.6</v>
      </c>
      <c r="F410" s="2">
        <v>489.6</v>
      </c>
      <c r="G410" s="3">
        <v>45972</v>
      </c>
      <c r="H410" s="2" t="s">
        <v>17</v>
      </c>
      <c r="I410" s="4" t="s">
        <v>13</v>
      </c>
      <c r="J410" s="12" t="str">
        <f>TEXT(Data[[#This Row],[PurchaseDate]],"ddd")</f>
        <v>Tue</v>
      </c>
      <c r="K410" s="12" t="str">
        <f>TEXT(Data[[#This Row],[PurchaseDate]],"mmm")</f>
        <v>Nov</v>
      </c>
    </row>
    <row r="411" spans="1:11" x14ac:dyDescent="0.25">
      <c r="A411" s="1" t="s">
        <v>459</v>
      </c>
      <c r="B411" s="2" t="s">
        <v>22</v>
      </c>
      <c r="C411" s="2" t="s">
        <v>23</v>
      </c>
      <c r="D411" s="2">
        <v>20</v>
      </c>
      <c r="E411" s="2">
        <v>1.29</v>
      </c>
      <c r="F411" s="2">
        <v>25.8</v>
      </c>
      <c r="G411" s="3">
        <v>45781</v>
      </c>
      <c r="H411" s="2" t="s">
        <v>12</v>
      </c>
      <c r="I411" s="4" t="s">
        <v>13</v>
      </c>
      <c r="J411" s="12" t="str">
        <f>TEXT(Data[[#This Row],[PurchaseDate]],"ddd")</f>
        <v>Sun</v>
      </c>
      <c r="K411" s="12" t="str">
        <f>TEXT(Data[[#This Row],[PurchaseDate]],"mmm")</f>
        <v>May</v>
      </c>
    </row>
    <row r="412" spans="1:11" x14ac:dyDescent="0.25">
      <c r="A412" s="1" t="s">
        <v>460</v>
      </c>
      <c r="B412" s="2" t="s">
        <v>60</v>
      </c>
      <c r="C412" s="2" t="s">
        <v>30</v>
      </c>
      <c r="D412" s="2">
        <v>12</v>
      </c>
      <c r="E412" s="2">
        <v>855.91</v>
      </c>
      <c r="F412" s="2">
        <v>10270.92</v>
      </c>
      <c r="G412" s="3">
        <v>45738</v>
      </c>
      <c r="H412" s="2" t="s">
        <v>33</v>
      </c>
      <c r="I412" s="4" t="s">
        <v>25</v>
      </c>
      <c r="J412" s="12" t="str">
        <f>TEXT(Data[[#This Row],[PurchaseDate]],"ddd")</f>
        <v>Sat</v>
      </c>
      <c r="K412" s="12" t="str">
        <f>TEXT(Data[[#This Row],[PurchaseDate]],"mmm")</f>
        <v>Mar</v>
      </c>
    </row>
    <row r="413" spans="1:11" x14ac:dyDescent="0.25">
      <c r="A413" s="1" t="s">
        <v>461</v>
      </c>
      <c r="B413" s="2" t="s">
        <v>29</v>
      </c>
      <c r="C413" s="2" t="s">
        <v>30</v>
      </c>
      <c r="D413" s="2">
        <v>20</v>
      </c>
      <c r="E413" s="2">
        <v>225.82</v>
      </c>
      <c r="F413" s="2">
        <v>4516.3999999999996</v>
      </c>
      <c r="G413" s="3">
        <v>45731</v>
      </c>
      <c r="H413" s="2" t="s">
        <v>24</v>
      </c>
      <c r="I413" s="4" t="s">
        <v>36</v>
      </c>
      <c r="J413" s="12" t="str">
        <f>TEXT(Data[[#This Row],[PurchaseDate]],"ddd")</f>
        <v>Sat</v>
      </c>
      <c r="K413" s="12" t="str">
        <f>TEXT(Data[[#This Row],[PurchaseDate]],"mmm")</f>
        <v>Mar</v>
      </c>
    </row>
    <row r="414" spans="1:11" x14ac:dyDescent="0.25">
      <c r="A414" s="1" t="s">
        <v>462</v>
      </c>
      <c r="B414" s="2" t="s">
        <v>41</v>
      </c>
      <c r="C414" s="2" t="s">
        <v>11</v>
      </c>
      <c r="D414" s="2">
        <v>16</v>
      </c>
      <c r="E414" s="2">
        <v>140.62</v>
      </c>
      <c r="F414" s="2">
        <v>2249.92</v>
      </c>
      <c r="G414" s="3">
        <v>45723</v>
      </c>
      <c r="H414" s="2" t="s">
        <v>43</v>
      </c>
      <c r="I414" s="4" t="s">
        <v>36</v>
      </c>
      <c r="J414" s="12" t="str">
        <f>TEXT(Data[[#This Row],[PurchaseDate]],"ddd")</f>
        <v>Fri</v>
      </c>
      <c r="K414" s="12" t="str">
        <f>TEXT(Data[[#This Row],[PurchaseDate]],"mmm")</f>
        <v>Mar</v>
      </c>
    </row>
    <row r="415" spans="1:11" x14ac:dyDescent="0.25">
      <c r="A415" s="1" t="s">
        <v>463</v>
      </c>
      <c r="B415" s="2" t="s">
        <v>52</v>
      </c>
      <c r="C415" s="2" t="s">
        <v>30</v>
      </c>
      <c r="D415" s="2">
        <v>12</v>
      </c>
      <c r="E415" s="2">
        <v>370.17</v>
      </c>
      <c r="F415" s="2">
        <v>4442.04</v>
      </c>
      <c r="G415" s="3">
        <v>45965</v>
      </c>
      <c r="H415" s="2" t="s">
        <v>24</v>
      </c>
      <c r="I415" s="4" t="s">
        <v>39</v>
      </c>
      <c r="J415" s="12" t="str">
        <f>TEXT(Data[[#This Row],[PurchaseDate]],"ddd")</f>
        <v>Tue</v>
      </c>
      <c r="K415" s="12" t="str">
        <f>TEXT(Data[[#This Row],[PurchaseDate]],"mmm")</f>
        <v>Nov</v>
      </c>
    </row>
    <row r="416" spans="1:11" x14ac:dyDescent="0.25">
      <c r="A416" s="1" t="s">
        <v>464</v>
      </c>
      <c r="B416" s="2" t="s">
        <v>15</v>
      </c>
      <c r="C416" s="2" t="s">
        <v>16</v>
      </c>
      <c r="D416" s="2">
        <v>14</v>
      </c>
      <c r="E416" s="2">
        <v>8.4</v>
      </c>
      <c r="F416" s="2">
        <v>117.6</v>
      </c>
      <c r="G416" s="3">
        <v>45930</v>
      </c>
      <c r="H416" s="2" t="s">
        <v>24</v>
      </c>
      <c r="I416" s="4" t="s">
        <v>49</v>
      </c>
      <c r="J416" s="12" t="str">
        <f>TEXT(Data[[#This Row],[PurchaseDate]],"ddd")</f>
        <v>Tue</v>
      </c>
      <c r="K416" s="12" t="str">
        <f>TEXT(Data[[#This Row],[PurchaseDate]],"mmm")</f>
        <v>Sep</v>
      </c>
    </row>
    <row r="417" spans="1:11" x14ac:dyDescent="0.25">
      <c r="A417" s="1" t="s">
        <v>465</v>
      </c>
      <c r="B417" s="2" t="s">
        <v>15</v>
      </c>
      <c r="C417" s="2" t="s">
        <v>16</v>
      </c>
      <c r="D417" s="2">
        <v>19</v>
      </c>
      <c r="E417" s="2">
        <v>12.71</v>
      </c>
      <c r="F417" s="2">
        <v>241.49</v>
      </c>
      <c r="G417" s="3">
        <v>45686</v>
      </c>
      <c r="H417" s="2" t="s">
        <v>43</v>
      </c>
      <c r="I417" s="4" t="s">
        <v>39</v>
      </c>
      <c r="J417" s="12" t="str">
        <f>TEXT(Data[[#This Row],[PurchaseDate]],"ddd")</f>
        <v>Wed</v>
      </c>
      <c r="K417" s="12" t="str">
        <f>TEXT(Data[[#This Row],[PurchaseDate]],"mmm")</f>
        <v>Jan</v>
      </c>
    </row>
    <row r="418" spans="1:11" x14ac:dyDescent="0.25">
      <c r="A418" s="1" t="s">
        <v>466</v>
      </c>
      <c r="B418" s="2" t="s">
        <v>38</v>
      </c>
      <c r="C418" s="2" t="s">
        <v>23</v>
      </c>
      <c r="D418" s="2">
        <v>2</v>
      </c>
      <c r="E418" s="2">
        <v>18.489999999999998</v>
      </c>
      <c r="F418" s="2">
        <v>36.979999999999997</v>
      </c>
      <c r="G418" s="3">
        <v>45741</v>
      </c>
      <c r="H418" s="2" t="s">
        <v>17</v>
      </c>
      <c r="I418" s="4" t="s">
        <v>94</v>
      </c>
      <c r="J418" s="12" t="str">
        <f>TEXT(Data[[#This Row],[PurchaseDate]],"ddd")</f>
        <v>Tue</v>
      </c>
      <c r="K418" s="12" t="str">
        <f>TEXT(Data[[#This Row],[PurchaseDate]],"mmm")</f>
        <v>Mar</v>
      </c>
    </row>
    <row r="419" spans="1:11" x14ac:dyDescent="0.25">
      <c r="A419" s="1" t="s">
        <v>467</v>
      </c>
      <c r="B419" s="2" t="s">
        <v>52</v>
      </c>
      <c r="C419" s="2" t="s">
        <v>30</v>
      </c>
      <c r="D419" s="2">
        <v>6</v>
      </c>
      <c r="E419" s="2">
        <v>234.51</v>
      </c>
      <c r="F419" s="2">
        <v>1407.06</v>
      </c>
      <c r="G419" s="3">
        <v>45691</v>
      </c>
      <c r="H419" s="2" t="s">
        <v>12</v>
      </c>
      <c r="I419" s="4" t="s">
        <v>13</v>
      </c>
      <c r="J419" s="12" t="str">
        <f>TEXT(Data[[#This Row],[PurchaseDate]],"ddd")</f>
        <v>Mon</v>
      </c>
      <c r="K419" s="12" t="str">
        <f>TEXT(Data[[#This Row],[PurchaseDate]],"mmm")</f>
        <v>Feb</v>
      </c>
    </row>
    <row r="420" spans="1:11" x14ac:dyDescent="0.25">
      <c r="A420" s="1" t="s">
        <v>468</v>
      </c>
      <c r="B420" s="2" t="s">
        <v>41</v>
      </c>
      <c r="C420" s="2" t="s">
        <v>11</v>
      </c>
      <c r="D420" s="2">
        <v>13</v>
      </c>
      <c r="E420" s="2">
        <v>198</v>
      </c>
      <c r="F420" s="2">
        <v>2574</v>
      </c>
      <c r="G420" s="3">
        <v>45856</v>
      </c>
      <c r="H420" s="2" t="s">
        <v>12</v>
      </c>
      <c r="I420" s="4" t="s">
        <v>31</v>
      </c>
      <c r="J420" s="12" t="str">
        <f>TEXT(Data[[#This Row],[PurchaseDate]],"ddd")</f>
        <v>Fri</v>
      </c>
      <c r="K420" s="12" t="str">
        <f>TEXT(Data[[#This Row],[PurchaseDate]],"mmm")</f>
        <v>Jul</v>
      </c>
    </row>
    <row r="421" spans="1:11" x14ac:dyDescent="0.25">
      <c r="A421" s="1" t="s">
        <v>469</v>
      </c>
      <c r="B421" s="2" t="s">
        <v>60</v>
      </c>
      <c r="C421" s="2" t="s">
        <v>30</v>
      </c>
      <c r="D421" s="2">
        <v>5</v>
      </c>
      <c r="E421" s="2">
        <v>876.61</v>
      </c>
      <c r="F421" s="2">
        <v>4383.05</v>
      </c>
      <c r="G421" s="3">
        <v>46011</v>
      </c>
      <c r="H421" s="2" t="s">
        <v>17</v>
      </c>
      <c r="I421" s="4" t="s">
        <v>13</v>
      </c>
      <c r="J421" s="12" t="str">
        <f>TEXT(Data[[#This Row],[PurchaseDate]],"ddd")</f>
        <v>Sat</v>
      </c>
      <c r="K421" s="12" t="str">
        <f>TEXT(Data[[#This Row],[PurchaseDate]],"mmm")</f>
        <v>Dec</v>
      </c>
    </row>
    <row r="422" spans="1:11" x14ac:dyDescent="0.25">
      <c r="A422" s="1" t="s">
        <v>470</v>
      </c>
      <c r="B422" s="2" t="s">
        <v>52</v>
      </c>
      <c r="C422" s="2" t="s">
        <v>30</v>
      </c>
      <c r="D422" s="2">
        <v>5</v>
      </c>
      <c r="E422" s="2">
        <v>314.06</v>
      </c>
      <c r="F422" s="2">
        <v>1570.3</v>
      </c>
      <c r="G422" s="3">
        <v>45845</v>
      </c>
      <c r="H422" s="2" t="s">
        <v>43</v>
      </c>
      <c r="I422" s="4" t="s">
        <v>47</v>
      </c>
      <c r="J422" s="12" t="str">
        <f>TEXT(Data[[#This Row],[PurchaseDate]],"ddd")</f>
        <v>Mon</v>
      </c>
      <c r="K422" s="12" t="str">
        <f>TEXT(Data[[#This Row],[PurchaseDate]],"mmm")</f>
        <v>Jul</v>
      </c>
    </row>
    <row r="423" spans="1:11" x14ac:dyDescent="0.25">
      <c r="A423" s="1" t="s">
        <v>471</v>
      </c>
      <c r="B423" s="2" t="s">
        <v>15</v>
      </c>
      <c r="C423" s="2" t="s">
        <v>16</v>
      </c>
      <c r="D423" s="2">
        <v>9</v>
      </c>
      <c r="E423" s="2">
        <v>7.49</v>
      </c>
      <c r="F423" s="2">
        <v>67.41</v>
      </c>
      <c r="G423" s="3">
        <v>45680</v>
      </c>
      <c r="H423" s="2" t="s">
        <v>33</v>
      </c>
      <c r="I423" s="4" t="s">
        <v>31</v>
      </c>
      <c r="J423" s="12" t="str">
        <f>TEXT(Data[[#This Row],[PurchaseDate]],"ddd")</f>
        <v>Thu</v>
      </c>
      <c r="K423" s="12" t="str">
        <f>TEXT(Data[[#This Row],[PurchaseDate]],"mmm")</f>
        <v>Jan</v>
      </c>
    </row>
    <row r="424" spans="1:11" x14ac:dyDescent="0.25">
      <c r="A424" s="1" t="s">
        <v>472</v>
      </c>
      <c r="B424" s="2" t="s">
        <v>54</v>
      </c>
      <c r="C424" s="2" t="s">
        <v>55</v>
      </c>
      <c r="D424" s="2">
        <v>18</v>
      </c>
      <c r="E424" s="2">
        <v>26.48</v>
      </c>
      <c r="F424" s="2">
        <v>476.64</v>
      </c>
      <c r="G424" s="3">
        <v>46013</v>
      </c>
      <c r="H424" s="2" t="s">
        <v>12</v>
      </c>
      <c r="I424" s="4" t="s">
        <v>94</v>
      </c>
      <c r="J424" s="12" t="str">
        <f>TEXT(Data[[#This Row],[PurchaseDate]],"ddd")</f>
        <v>Mon</v>
      </c>
      <c r="K424" s="12" t="str">
        <f>TEXT(Data[[#This Row],[PurchaseDate]],"mmm")</f>
        <v>Dec</v>
      </c>
    </row>
    <row r="425" spans="1:11" x14ac:dyDescent="0.25">
      <c r="A425" s="1" t="s">
        <v>473</v>
      </c>
      <c r="B425" s="2" t="s">
        <v>38</v>
      </c>
      <c r="C425" s="2" t="s">
        <v>23</v>
      </c>
      <c r="D425" s="2">
        <v>5</v>
      </c>
      <c r="E425" s="2">
        <v>18.61</v>
      </c>
      <c r="F425" s="2">
        <v>93.05</v>
      </c>
      <c r="G425" s="3">
        <v>45737</v>
      </c>
      <c r="H425" s="2" t="s">
        <v>43</v>
      </c>
      <c r="I425" s="4" t="s">
        <v>79</v>
      </c>
      <c r="J425" s="12" t="str">
        <f>TEXT(Data[[#This Row],[PurchaseDate]],"ddd")</f>
        <v>Fri</v>
      </c>
      <c r="K425" s="12" t="str">
        <f>TEXT(Data[[#This Row],[PurchaseDate]],"mmm")</f>
        <v>Mar</v>
      </c>
    </row>
    <row r="426" spans="1:11" x14ac:dyDescent="0.25">
      <c r="A426" s="1" t="s">
        <v>474</v>
      </c>
      <c r="B426" s="2" t="s">
        <v>38</v>
      </c>
      <c r="C426" s="2" t="s">
        <v>23</v>
      </c>
      <c r="D426" s="2">
        <v>3</v>
      </c>
      <c r="E426" s="2">
        <v>18.22</v>
      </c>
      <c r="F426" s="2">
        <v>54.66</v>
      </c>
      <c r="G426" s="3">
        <v>45663</v>
      </c>
      <c r="H426" s="2" t="s">
        <v>33</v>
      </c>
      <c r="I426" s="4" t="s">
        <v>31</v>
      </c>
      <c r="J426" s="12" t="str">
        <f>TEXT(Data[[#This Row],[PurchaseDate]],"ddd")</f>
        <v>Mon</v>
      </c>
      <c r="K426" s="12" t="str">
        <f>TEXT(Data[[#This Row],[PurchaseDate]],"mmm")</f>
        <v>Jan</v>
      </c>
    </row>
    <row r="427" spans="1:11" x14ac:dyDescent="0.25">
      <c r="A427" s="1" t="s">
        <v>475</v>
      </c>
      <c r="B427" s="2" t="s">
        <v>22</v>
      </c>
      <c r="C427" s="2" t="s">
        <v>23</v>
      </c>
      <c r="D427" s="2">
        <v>17</v>
      </c>
      <c r="E427" s="2">
        <v>2.5499999999999998</v>
      </c>
      <c r="F427" s="2">
        <v>43.35</v>
      </c>
      <c r="G427" s="3">
        <v>45961</v>
      </c>
      <c r="H427" s="2" t="s">
        <v>17</v>
      </c>
      <c r="I427" s="4" t="s">
        <v>31</v>
      </c>
      <c r="J427" s="12" t="str">
        <f>TEXT(Data[[#This Row],[PurchaseDate]],"ddd")</f>
        <v>Fri</v>
      </c>
      <c r="K427" s="12" t="str">
        <f>TEXT(Data[[#This Row],[PurchaseDate]],"mmm")</f>
        <v>Oct</v>
      </c>
    </row>
    <row r="428" spans="1:11" x14ac:dyDescent="0.25">
      <c r="A428" s="1" t="s">
        <v>476</v>
      </c>
      <c r="B428" s="2" t="s">
        <v>19</v>
      </c>
      <c r="C428" s="2" t="s">
        <v>20</v>
      </c>
      <c r="D428" s="2">
        <v>1</v>
      </c>
      <c r="E428" s="2">
        <v>5117.84</v>
      </c>
      <c r="F428" s="2">
        <v>5117.84</v>
      </c>
      <c r="G428" s="3">
        <v>45670</v>
      </c>
      <c r="H428" s="2" t="s">
        <v>17</v>
      </c>
      <c r="I428" s="4" t="s">
        <v>47</v>
      </c>
      <c r="J428" s="12" t="str">
        <f>TEXT(Data[[#This Row],[PurchaseDate]],"ddd")</f>
        <v>Mon</v>
      </c>
      <c r="K428" s="12" t="str">
        <f>TEXT(Data[[#This Row],[PurchaseDate]],"mmm")</f>
        <v>Jan</v>
      </c>
    </row>
    <row r="429" spans="1:11" x14ac:dyDescent="0.25">
      <c r="A429" s="1" t="s">
        <v>477</v>
      </c>
      <c r="B429" s="2" t="s">
        <v>54</v>
      </c>
      <c r="C429" s="2" t="s">
        <v>55</v>
      </c>
      <c r="D429" s="2">
        <v>12</v>
      </c>
      <c r="E429" s="2">
        <v>20.3</v>
      </c>
      <c r="F429" s="2">
        <v>243.6</v>
      </c>
      <c r="G429" s="3">
        <v>45766</v>
      </c>
      <c r="H429" s="2" t="s">
        <v>24</v>
      </c>
      <c r="I429" s="4" t="s">
        <v>31</v>
      </c>
      <c r="J429" s="12" t="str">
        <f>TEXT(Data[[#This Row],[PurchaseDate]],"ddd")</f>
        <v>Sat</v>
      </c>
      <c r="K429" s="12" t="str">
        <f>TEXT(Data[[#This Row],[PurchaseDate]],"mmm")</f>
        <v>Apr</v>
      </c>
    </row>
    <row r="430" spans="1:11" x14ac:dyDescent="0.25">
      <c r="A430" s="1" t="s">
        <v>478</v>
      </c>
      <c r="B430" s="2" t="s">
        <v>54</v>
      </c>
      <c r="C430" s="2" t="s">
        <v>55</v>
      </c>
      <c r="D430" s="2">
        <v>18</v>
      </c>
      <c r="E430" s="2">
        <v>34.97</v>
      </c>
      <c r="F430" s="2">
        <v>629.46</v>
      </c>
      <c r="G430" s="3">
        <v>45739</v>
      </c>
      <c r="H430" s="2" t="s">
        <v>33</v>
      </c>
      <c r="I430" s="4" t="s">
        <v>34</v>
      </c>
      <c r="J430" s="12" t="str">
        <f>TEXT(Data[[#This Row],[PurchaseDate]],"ddd")</f>
        <v>Sun</v>
      </c>
      <c r="K430" s="12" t="str">
        <f>TEXT(Data[[#This Row],[PurchaseDate]],"mmm")</f>
        <v>Mar</v>
      </c>
    </row>
    <row r="431" spans="1:11" x14ac:dyDescent="0.25">
      <c r="A431" s="1" t="s">
        <v>479</v>
      </c>
      <c r="B431" s="2" t="s">
        <v>60</v>
      </c>
      <c r="C431" s="2" t="s">
        <v>30</v>
      </c>
      <c r="D431" s="2">
        <v>17</v>
      </c>
      <c r="E431" s="2">
        <v>844.38</v>
      </c>
      <c r="F431" s="2">
        <v>14354.46</v>
      </c>
      <c r="G431" s="3">
        <v>45911</v>
      </c>
      <c r="H431" s="2" t="s">
        <v>43</v>
      </c>
      <c r="I431" s="4" t="s">
        <v>31</v>
      </c>
      <c r="J431" s="12" t="str">
        <f>TEXT(Data[[#This Row],[PurchaseDate]],"ddd")</f>
        <v>Thu</v>
      </c>
      <c r="K431" s="12" t="str">
        <f>TEXT(Data[[#This Row],[PurchaseDate]],"mmm")</f>
        <v>Sep</v>
      </c>
    </row>
    <row r="432" spans="1:11" x14ac:dyDescent="0.25">
      <c r="A432" s="1" t="s">
        <v>480</v>
      </c>
      <c r="B432" s="2" t="s">
        <v>19</v>
      </c>
      <c r="C432" s="2" t="s">
        <v>20</v>
      </c>
      <c r="D432" s="2">
        <v>1</v>
      </c>
      <c r="E432" s="2">
        <v>8617.42</v>
      </c>
      <c r="F432" s="2">
        <v>8617.42</v>
      </c>
      <c r="G432" s="3">
        <v>45909</v>
      </c>
      <c r="H432" s="2" t="s">
        <v>12</v>
      </c>
      <c r="I432" s="4" t="s">
        <v>13</v>
      </c>
      <c r="J432" s="12" t="str">
        <f>TEXT(Data[[#This Row],[PurchaseDate]],"ddd")</f>
        <v>Tue</v>
      </c>
      <c r="K432" s="12" t="str">
        <f>TEXT(Data[[#This Row],[PurchaseDate]],"mmm")</f>
        <v>Sep</v>
      </c>
    </row>
    <row r="433" spans="1:11" x14ac:dyDescent="0.25">
      <c r="A433" s="1" t="s">
        <v>481</v>
      </c>
      <c r="B433" s="2" t="s">
        <v>41</v>
      </c>
      <c r="C433" s="2" t="s">
        <v>11</v>
      </c>
      <c r="D433" s="2">
        <v>13</v>
      </c>
      <c r="E433" s="2">
        <v>113.56</v>
      </c>
      <c r="F433" s="2">
        <v>1476.28</v>
      </c>
      <c r="G433" s="3">
        <v>45879</v>
      </c>
      <c r="H433" s="2" t="s">
        <v>24</v>
      </c>
      <c r="I433" s="4" t="s">
        <v>45</v>
      </c>
      <c r="J433" s="12" t="str">
        <f>TEXT(Data[[#This Row],[PurchaseDate]],"ddd")</f>
        <v>Sun</v>
      </c>
      <c r="K433" s="12" t="str">
        <f>TEXT(Data[[#This Row],[PurchaseDate]],"mmm")</f>
        <v>Aug</v>
      </c>
    </row>
    <row r="434" spans="1:11" x14ac:dyDescent="0.25">
      <c r="A434" s="1" t="s">
        <v>482</v>
      </c>
      <c r="B434" s="2" t="s">
        <v>15</v>
      </c>
      <c r="C434" s="2" t="s">
        <v>16</v>
      </c>
      <c r="D434" s="2">
        <v>3</v>
      </c>
      <c r="E434" s="2">
        <v>5.49</v>
      </c>
      <c r="F434" s="2">
        <v>16.47</v>
      </c>
      <c r="G434" s="3">
        <v>45793</v>
      </c>
      <c r="H434" s="2" t="s">
        <v>43</v>
      </c>
      <c r="I434" s="4" t="s">
        <v>94</v>
      </c>
      <c r="J434" s="12" t="str">
        <f>TEXT(Data[[#This Row],[PurchaseDate]],"ddd")</f>
        <v>Fri</v>
      </c>
      <c r="K434" s="12" t="str">
        <f>TEXT(Data[[#This Row],[PurchaseDate]],"mmm")</f>
        <v>May</v>
      </c>
    </row>
    <row r="435" spans="1:11" x14ac:dyDescent="0.25">
      <c r="A435" s="1" t="s">
        <v>483</v>
      </c>
      <c r="B435" s="2" t="s">
        <v>19</v>
      </c>
      <c r="C435" s="2" t="s">
        <v>20</v>
      </c>
      <c r="D435" s="2">
        <v>1</v>
      </c>
      <c r="E435" s="2">
        <v>8104.62</v>
      </c>
      <c r="F435" s="2">
        <v>8104.62</v>
      </c>
      <c r="G435" s="3">
        <v>45947</v>
      </c>
      <c r="H435" s="2" t="s">
        <v>24</v>
      </c>
      <c r="I435" s="4" t="s">
        <v>36</v>
      </c>
      <c r="J435" s="12" t="str">
        <f>TEXT(Data[[#This Row],[PurchaseDate]],"ddd")</f>
        <v>Fri</v>
      </c>
      <c r="K435" s="12" t="str">
        <f>TEXT(Data[[#This Row],[PurchaseDate]],"mmm")</f>
        <v>Oct</v>
      </c>
    </row>
    <row r="436" spans="1:11" x14ac:dyDescent="0.25">
      <c r="A436" s="1" t="s">
        <v>484</v>
      </c>
      <c r="B436" s="2" t="s">
        <v>29</v>
      </c>
      <c r="C436" s="2" t="s">
        <v>30</v>
      </c>
      <c r="D436" s="2">
        <v>7</v>
      </c>
      <c r="E436" s="2">
        <v>265.41000000000003</v>
      </c>
      <c r="F436" s="2">
        <v>1857.87</v>
      </c>
      <c r="G436" s="3">
        <v>45734</v>
      </c>
      <c r="H436" s="2" t="s">
        <v>33</v>
      </c>
      <c r="I436" s="4" t="s">
        <v>47</v>
      </c>
      <c r="J436" s="12" t="str">
        <f>TEXT(Data[[#This Row],[PurchaseDate]],"ddd")</f>
        <v>Tue</v>
      </c>
      <c r="K436" s="12" t="str">
        <f>TEXT(Data[[#This Row],[PurchaseDate]],"mmm")</f>
        <v>Mar</v>
      </c>
    </row>
    <row r="437" spans="1:11" x14ac:dyDescent="0.25">
      <c r="A437" s="1" t="s">
        <v>485</v>
      </c>
      <c r="B437" s="2" t="s">
        <v>60</v>
      </c>
      <c r="C437" s="2" t="s">
        <v>30</v>
      </c>
      <c r="D437" s="2">
        <v>2</v>
      </c>
      <c r="E437" s="2">
        <v>806.52</v>
      </c>
      <c r="F437" s="2">
        <v>1613.04</v>
      </c>
      <c r="G437" s="3">
        <v>45793</v>
      </c>
      <c r="H437" s="2" t="s">
        <v>43</v>
      </c>
      <c r="I437" s="4" t="s">
        <v>31</v>
      </c>
      <c r="J437" s="12" t="str">
        <f>TEXT(Data[[#This Row],[PurchaseDate]],"ddd")</f>
        <v>Fri</v>
      </c>
      <c r="K437" s="12" t="str">
        <f>TEXT(Data[[#This Row],[PurchaseDate]],"mmm")</f>
        <v>May</v>
      </c>
    </row>
    <row r="438" spans="1:11" x14ac:dyDescent="0.25">
      <c r="A438" s="1" t="s">
        <v>486</v>
      </c>
      <c r="B438" s="2" t="s">
        <v>60</v>
      </c>
      <c r="C438" s="2" t="s">
        <v>30</v>
      </c>
      <c r="D438" s="2">
        <v>9</v>
      </c>
      <c r="E438" s="2">
        <v>926.54</v>
      </c>
      <c r="F438" s="2">
        <v>8338.86</v>
      </c>
      <c r="G438" s="3">
        <v>45711</v>
      </c>
      <c r="H438" s="2" t="s">
        <v>24</v>
      </c>
      <c r="I438" s="4" t="s">
        <v>96</v>
      </c>
      <c r="J438" s="12" t="str">
        <f>TEXT(Data[[#This Row],[PurchaseDate]],"ddd")</f>
        <v>Sun</v>
      </c>
      <c r="K438" s="12" t="str">
        <f>TEXT(Data[[#This Row],[PurchaseDate]],"mmm")</f>
        <v>Feb</v>
      </c>
    </row>
    <row r="439" spans="1:11" x14ac:dyDescent="0.25">
      <c r="A439" s="1" t="s">
        <v>487</v>
      </c>
      <c r="B439" s="2" t="s">
        <v>52</v>
      </c>
      <c r="C439" s="2" t="s">
        <v>30</v>
      </c>
      <c r="D439" s="2">
        <v>3</v>
      </c>
      <c r="E439" s="2">
        <v>244.23</v>
      </c>
      <c r="F439" s="2">
        <v>732.69</v>
      </c>
      <c r="G439" s="3">
        <v>45968</v>
      </c>
      <c r="H439" s="2" t="s">
        <v>43</v>
      </c>
      <c r="I439" s="4" t="s">
        <v>47</v>
      </c>
      <c r="J439" s="12" t="str">
        <f>TEXT(Data[[#This Row],[PurchaseDate]],"ddd")</f>
        <v>Fri</v>
      </c>
      <c r="K439" s="12" t="str">
        <f>TEXT(Data[[#This Row],[PurchaseDate]],"mmm")</f>
        <v>Nov</v>
      </c>
    </row>
    <row r="440" spans="1:11" x14ac:dyDescent="0.25">
      <c r="A440" s="1" t="s">
        <v>488</v>
      </c>
      <c r="B440" s="2" t="s">
        <v>38</v>
      </c>
      <c r="C440" s="2" t="s">
        <v>23</v>
      </c>
      <c r="D440" s="2">
        <v>12</v>
      </c>
      <c r="E440" s="2">
        <v>16.350000000000001</v>
      </c>
      <c r="F440" s="2">
        <v>196.2</v>
      </c>
      <c r="G440" s="3">
        <v>45866</v>
      </c>
      <c r="H440" s="2" t="s">
        <v>43</v>
      </c>
      <c r="I440" s="4" t="s">
        <v>25</v>
      </c>
      <c r="J440" s="12" t="str">
        <f>TEXT(Data[[#This Row],[PurchaseDate]],"ddd")</f>
        <v>Mon</v>
      </c>
      <c r="K440" s="12" t="str">
        <f>TEXT(Data[[#This Row],[PurchaseDate]],"mmm")</f>
        <v>Jul</v>
      </c>
    </row>
    <row r="441" spans="1:11" x14ac:dyDescent="0.25">
      <c r="A441" s="1" t="s">
        <v>489</v>
      </c>
      <c r="B441" s="2" t="s">
        <v>60</v>
      </c>
      <c r="C441" s="2" t="s">
        <v>30</v>
      </c>
      <c r="D441" s="2">
        <v>17</v>
      </c>
      <c r="E441" s="2">
        <v>934.77</v>
      </c>
      <c r="F441" s="2">
        <v>15891.09</v>
      </c>
      <c r="G441" s="3">
        <v>45705</v>
      </c>
      <c r="H441" s="2" t="s">
        <v>24</v>
      </c>
      <c r="I441" s="4" t="s">
        <v>94</v>
      </c>
      <c r="J441" s="12" t="str">
        <f>TEXT(Data[[#This Row],[PurchaseDate]],"ddd")</f>
        <v>Mon</v>
      </c>
      <c r="K441" s="12" t="str">
        <f>TEXT(Data[[#This Row],[PurchaseDate]],"mmm")</f>
        <v>Feb</v>
      </c>
    </row>
    <row r="442" spans="1:11" x14ac:dyDescent="0.25">
      <c r="A442" s="1" t="s">
        <v>490</v>
      </c>
      <c r="B442" s="2" t="s">
        <v>15</v>
      </c>
      <c r="C442" s="2" t="s">
        <v>16</v>
      </c>
      <c r="D442" s="2">
        <v>13</v>
      </c>
      <c r="E442" s="2">
        <v>13.56</v>
      </c>
      <c r="F442" s="2">
        <v>176.28</v>
      </c>
      <c r="G442" s="3">
        <v>45661</v>
      </c>
      <c r="H442" s="2" t="s">
        <v>24</v>
      </c>
      <c r="I442" s="4" t="s">
        <v>31</v>
      </c>
      <c r="J442" s="12" t="str">
        <f>TEXT(Data[[#This Row],[PurchaseDate]],"ddd")</f>
        <v>Sat</v>
      </c>
      <c r="K442" s="12" t="str">
        <f>TEXT(Data[[#This Row],[PurchaseDate]],"mmm")</f>
        <v>Jan</v>
      </c>
    </row>
    <row r="443" spans="1:11" x14ac:dyDescent="0.25">
      <c r="A443" s="1" t="s">
        <v>491</v>
      </c>
      <c r="B443" s="2" t="s">
        <v>29</v>
      </c>
      <c r="C443" s="2" t="s">
        <v>30</v>
      </c>
      <c r="D443" s="2">
        <v>6</v>
      </c>
      <c r="E443" s="2">
        <v>194.52</v>
      </c>
      <c r="F443" s="2">
        <v>1167.1199999999999</v>
      </c>
      <c r="G443" s="3">
        <v>45913</v>
      </c>
      <c r="H443" s="2" t="s">
        <v>24</v>
      </c>
      <c r="I443" s="4" t="s">
        <v>49</v>
      </c>
      <c r="J443" s="12" t="str">
        <f>TEXT(Data[[#This Row],[PurchaseDate]],"ddd")</f>
        <v>Sat</v>
      </c>
      <c r="K443" s="12" t="str">
        <f>TEXT(Data[[#This Row],[PurchaseDate]],"mmm")</f>
        <v>Sep</v>
      </c>
    </row>
    <row r="444" spans="1:11" x14ac:dyDescent="0.25">
      <c r="A444" s="1" t="s">
        <v>492</v>
      </c>
      <c r="B444" s="2" t="s">
        <v>60</v>
      </c>
      <c r="C444" s="2" t="s">
        <v>30</v>
      </c>
      <c r="D444" s="2">
        <v>11</v>
      </c>
      <c r="E444" s="2">
        <v>968.59</v>
      </c>
      <c r="F444" s="2">
        <v>10654.49</v>
      </c>
      <c r="G444" s="3">
        <v>45999</v>
      </c>
      <c r="H444" s="2" t="s">
        <v>43</v>
      </c>
      <c r="I444" s="4" t="s">
        <v>94</v>
      </c>
      <c r="J444" s="12" t="str">
        <f>TEXT(Data[[#This Row],[PurchaseDate]],"ddd")</f>
        <v>Mon</v>
      </c>
      <c r="K444" s="12" t="str">
        <f>TEXT(Data[[#This Row],[PurchaseDate]],"mmm")</f>
        <v>Dec</v>
      </c>
    </row>
    <row r="445" spans="1:11" x14ac:dyDescent="0.25">
      <c r="A445" s="1" t="s">
        <v>493</v>
      </c>
      <c r="B445" s="2" t="s">
        <v>10</v>
      </c>
      <c r="C445" s="2" t="s">
        <v>11</v>
      </c>
      <c r="D445" s="2">
        <v>13</v>
      </c>
      <c r="E445" s="2">
        <v>154.6</v>
      </c>
      <c r="F445" s="2">
        <v>2009.8</v>
      </c>
      <c r="G445" s="3">
        <v>45874</v>
      </c>
      <c r="H445" s="2" t="s">
        <v>43</v>
      </c>
      <c r="I445" s="4" t="s">
        <v>49</v>
      </c>
      <c r="J445" s="12" t="str">
        <f>TEXT(Data[[#This Row],[PurchaseDate]],"ddd")</f>
        <v>Tue</v>
      </c>
      <c r="K445" s="12" t="str">
        <f>TEXT(Data[[#This Row],[PurchaseDate]],"mmm")</f>
        <v>Aug</v>
      </c>
    </row>
    <row r="446" spans="1:11" x14ac:dyDescent="0.25">
      <c r="A446" s="1" t="s">
        <v>494</v>
      </c>
      <c r="B446" s="2" t="s">
        <v>41</v>
      </c>
      <c r="C446" s="2" t="s">
        <v>11</v>
      </c>
      <c r="D446" s="2">
        <v>10</v>
      </c>
      <c r="E446" s="2">
        <v>114.7</v>
      </c>
      <c r="F446" s="2">
        <v>1147</v>
      </c>
      <c r="G446" s="3">
        <v>45822</v>
      </c>
      <c r="H446" s="2" t="s">
        <v>17</v>
      </c>
      <c r="I446" s="4" t="s">
        <v>133</v>
      </c>
      <c r="J446" s="12" t="str">
        <f>TEXT(Data[[#This Row],[PurchaseDate]],"ddd")</f>
        <v>Sat</v>
      </c>
      <c r="K446" s="12" t="str">
        <f>TEXT(Data[[#This Row],[PurchaseDate]],"mmm")</f>
        <v>Jun</v>
      </c>
    </row>
    <row r="447" spans="1:11" x14ac:dyDescent="0.25">
      <c r="A447" s="1" t="s">
        <v>495</v>
      </c>
      <c r="B447" s="2" t="s">
        <v>60</v>
      </c>
      <c r="C447" s="2" t="s">
        <v>30</v>
      </c>
      <c r="D447" s="2">
        <v>1</v>
      </c>
      <c r="E447" s="2">
        <v>953.39</v>
      </c>
      <c r="F447" s="2">
        <v>953.39</v>
      </c>
      <c r="G447" s="3">
        <v>45997</v>
      </c>
      <c r="H447" s="2" t="s">
        <v>33</v>
      </c>
      <c r="I447" s="4" t="s">
        <v>83</v>
      </c>
      <c r="J447" s="12" t="str">
        <f>TEXT(Data[[#This Row],[PurchaseDate]],"ddd")</f>
        <v>Sat</v>
      </c>
      <c r="K447" s="12" t="str">
        <f>TEXT(Data[[#This Row],[PurchaseDate]],"mmm")</f>
        <v>Dec</v>
      </c>
    </row>
    <row r="448" spans="1:11" x14ac:dyDescent="0.25">
      <c r="A448" s="1" t="s">
        <v>496</v>
      </c>
      <c r="B448" s="2" t="s">
        <v>19</v>
      </c>
      <c r="C448" s="2" t="s">
        <v>20</v>
      </c>
      <c r="D448" s="2">
        <v>1</v>
      </c>
      <c r="E448" s="2">
        <v>6738.19</v>
      </c>
      <c r="F448" s="2">
        <v>6738.19</v>
      </c>
      <c r="G448" s="3">
        <v>45948</v>
      </c>
      <c r="H448" s="2" t="s">
        <v>33</v>
      </c>
      <c r="I448" s="4" t="s">
        <v>13</v>
      </c>
      <c r="J448" s="12" t="str">
        <f>TEXT(Data[[#This Row],[PurchaseDate]],"ddd")</f>
        <v>Sat</v>
      </c>
      <c r="K448" s="12" t="str">
        <f>TEXT(Data[[#This Row],[PurchaseDate]],"mmm")</f>
        <v>Oct</v>
      </c>
    </row>
    <row r="449" spans="1:11" x14ac:dyDescent="0.25">
      <c r="A449" s="1" t="s">
        <v>497</v>
      </c>
      <c r="B449" s="2" t="s">
        <v>22</v>
      </c>
      <c r="C449" s="2" t="s">
        <v>23</v>
      </c>
      <c r="D449" s="2">
        <v>7</v>
      </c>
      <c r="E449" s="2">
        <v>2.96</v>
      </c>
      <c r="F449" s="2">
        <v>20.72</v>
      </c>
      <c r="G449" s="3">
        <v>45801</v>
      </c>
      <c r="H449" s="2" t="s">
        <v>12</v>
      </c>
      <c r="I449" s="4" t="s">
        <v>58</v>
      </c>
      <c r="J449" s="12" t="str">
        <f>TEXT(Data[[#This Row],[PurchaseDate]],"ddd")</f>
        <v>Sat</v>
      </c>
      <c r="K449" s="12" t="str">
        <f>TEXT(Data[[#This Row],[PurchaseDate]],"mmm")</f>
        <v>May</v>
      </c>
    </row>
    <row r="450" spans="1:11" x14ac:dyDescent="0.25">
      <c r="A450" s="1" t="s">
        <v>498</v>
      </c>
      <c r="B450" s="2" t="s">
        <v>54</v>
      </c>
      <c r="C450" s="2" t="s">
        <v>55</v>
      </c>
      <c r="D450" s="2">
        <v>2</v>
      </c>
      <c r="E450" s="2">
        <v>39</v>
      </c>
      <c r="F450" s="2">
        <v>78</v>
      </c>
      <c r="G450" s="3">
        <v>45728</v>
      </c>
      <c r="H450" s="2" t="s">
        <v>17</v>
      </c>
      <c r="I450" s="4" t="s">
        <v>85</v>
      </c>
      <c r="J450" s="12" t="str">
        <f>TEXT(Data[[#This Row],[PurchaseDate]],"ddd")</f>
        <v>Wed</v>
      </c>
      <c r="K450" s="12" t="str">
        <f>TEXT(Data[[#This Row],[PurchaseDate]],"mmm")</f>
        <v>Mar</v>
      </c>
    </row>
    <row r="451" spans="1:11" x14ac:dyDescent="0.25">
      <c r="A451" s="1" t="s">
        <v>499</v>
      </c>
      <c r="B451" s="2" t="s">
        <v>19</v>
      </c>
      <c r="C451" s="2" t="s">
        <v>20</v>
      </c>
      <c r="D451" s="2">
        <v>1</v>
      </c>
      <c r="E451" s="2">
        <v>5047.01</v>
      </c>
      <c r="F451" s="2">
        <v>5047.01</v>
      </c>
      <c r="G451" s="3">
        <v>45921</v>
      </c>
      <c r="H451" s="2" t="s">
        <v>33</v>
      </c>
      <c r="I451" s="4" t="s">
        <v>49</v>
      </c>
      <c r="J451" s="12" t="str">
        <f>TEXT(Data[[#This Row],[PurchaseDate]],"ddd")</f>
        <v>Sun</v>
      </c>
      <c r="K451" s="12" t="str">
        <f>TEXT(Data[[#This Row],[PurchaseDate]],"mmm")</f>
        <v>Sep</v>
      </c>
    </row>
    <row r="452" spans="1:11" x14ac:dyDescent="0.25">
      <c r="A452" s="1" t="s">
        <v>500</v>
      </c>
      <c r="B452" s="2" t="s">
        <v>54</v>
      </c>
      <c r="C452" s="2" t="s">
        <v>55</v>
      </c>
      <c r="D452" s="2">
        <v>6</v>
      </c>
      <c r="E452" s="2">
        <v>29.86</v>
      </c>
      <c r="F452" s="2">
        <v>179.16</v>
      </c>
      <c r="G452" s="3">
        <v>45694</v>
      </c>
      <c r="H452" s="2" t="s">
        <v>33</v>
      </c>
      <c r="I452" s="4" t="s">
        <v>56</v>
      </c>
      <c r="J452" s="12" t="str">
        <f>TEXT(Data[[#This Row],[PurchaseDate]],"ddd")</f>
        <v>Thu</v>
      </c>
      <c r="K452" s="12" t="str">
        <f>TEXT(Data[[#This Row],[PurchaseDate]],"mmm")</f>
        <v>Feb</v>
      </c>
    </row>
    <row r="453" spans="1:11" x14ac:dyDescent="0.25">
      <c r="A453" s="1" t="s">
        <v>501</v>
      </c>
      <c r="B453" s="2" t="s">
        <v>29</v>
      </c>
      <c r="C453" s="2" t="s">
        <v>30</v>
      </c>
      <c r="D453" s="2">
        <v>18</v>
      </c>
      <c r="E453" s="2">
        <v>152.01</v>
      </c>
      <c r="F453" s="2">
        <v>2736.18</v>
      </c>
      <c r="G453" s="3">
        <v>45738</v>
      </c>
      <c r="H453" s="2" t="s">
        <v>43</v>
      </c>
      <c r="I453" s="4" t="s">
        <v>94</v>
      </c>
      <c r="J453" s="12" t="str">
        <f>TEXT(Data[[#This Row],[PurchaseDate]],"ddd")</f>
        <v>Sat</v>
      </c>
      <c r="K453" s="12" t="str">
        <f>TEXT(Data[[#This Row],[PurchaseDate]],"mmm")</f>
        <v>Mar</v>
      </c>
    </row>
    <row r="454" spans="1:11" x14ac:dyDescent="0.25">
      <c r="A454" s="1" t="s">
        <v>502</v>
      </c>
      <c r="B454" s="2" t="s">
        <v>15</v>
      </c>
      <c r="C454" s="2" t="s">
        <v>16</v>
      </c>
      <c r="D454" s="2">
        <v>6</v>
      </c>
      <c r="E454" s="2">
        <v>8.6</v>
      </c>
      <c r="F454" s="2">
        <v>51.6</v>
      </c>
      <c r="G454" s="3">
        <v>45903</v>
      </c>
      <c r="H454" s="2" t="s">
        <v>24</v>
      </c>
      <c r="I454" s="4" t="s">
        <v>96</v>
      </c>
      <c r="J454" s="12" t="str">
        <f>TEXT(Data[[#This Row],[PurchaseDate]],"ddd")</f>
        <v>Wed</v>
      </c>
      <c r="K454" s="12" t="str">
        <f>TEXT(Data[[#This Row],[PurchaseDate]],"mmm")</f>
        <v>Sep</v>
      </c>
    </row>
    <row r="455" spans="1:11" x14ac:dyDescent="0.25">
      <c r="A455" s="1" t="s">
        <v>503</v>
      </c>
      <c r="B455" s="2" t="s">
        <v>15</v>
      </c>
      <c r="C455" s="2" t="s">
        <v>16</v>
      </c>
      <c r="D455" s="2">
        <v>16</v>
      </c>
      <c r="E455" s="2">
        <v>5.35</v>
      </c>
      <c r="F455" s="2">
        <v>85.6</v>
      </c>
      <c r="G455" s="3">
        <v>45869</v>
      </c>
      <c r="H455" s="2" t="s">
        <v>17</v>
      </c>
      <c r="I455" s="4" t="s">
        <v>25</v>
      </c>
      <c r="J455" s="12" t="str">
        <f>TEXT(Data[[#This Row],[PurchaseDate]],"ddd")</f>
        <v>Thu</v>
      </c>
      <c r="K455" s="12" t="str">
        <f>TEXT(Data[[#This Row],[PurchaseDate]],"mmm")</f>
        <v>Jul</v>
      </c>
    </row>
    <row r="456" spans="1:11" x14ac:dyDescent="0.25">
      <c r="A456" s="1" t="s">
        <v>504</v>
      </c>
      <c r="B456" s="2" t="s">
        <v>54</v>
      </c>
      <c r="C456" s="2" t="s">
        <v>55</v>
      </c>
      <c r="D456" s="2">
        <v>4</v>
      </c>
      <c r="E456" s="2">
        <v>30.47</v>
      </c>
      <c r="F456" s="2">
        <v>121.88</v>
      </c>
      <c r="G456" s="3">
        <v>45757</v>
      </c>
      <c r="H456" s="2" t="s">
        <v>17</v>
      </c>
      <c r="I456" s="4" t="s">
        <v>34</v>
      </c>
      <c r="J456" s="12" t="str">
        <f>TEXT(Data[[#This Row],[PurchaseDate]],"ddd")</f>
        <v>Thu</v>
      </c>
      <c r="K456" s="12" t="str">
        <f>TEXT(Data[[#This Row],[PurchaseDate]],"mmm")</f>
        <v>Apr</v>
      </c>
    </row>
    <row r="457" spans="1:11" x14ac:dyDescent="0.25">
      <c r="A457" s="1" t="s">
        <v>505</v>
      </c>
      <c r="B457" s="2" t="s">
        <v>54</v>
      </c>
      <c r="C457" s="2" t="s">
        <v>55</v>
      </c>
      <c r="D457" s="2">
        <v>13</v>
      </c>
      <c r="E457" s="2">
        <v>42.31</v>
      </c>
      <c r="F457" s="2">
        <v>550.03</v>
      </c>
      <c r="G457" s="3">
        <v>45850</v>
      </c>
      <c r="H457" s="2" t="s">
        <v>24</v>
      </c>
      <c r="I457" s="4" t="s">
        <v>27</v>
      </c>
      <c r="J457" s="12" t="str">
        <f>TEXT(Data[[#This Row],[PurchaseDate]],"ddd")</f>
        <v>Sat</v>
      </c>
      <c r="K457" s="12" t="str">
        <f>TEXT(Data[[#This Row],[PurchaseDate]],"mmm")</f>
        <v>Jul</v>
      </c>
    </row>
    <row r="458" spans="1:11" x14ac:dyDescent="0.25">
      <c r="A458" s="1" t="s">
        <v>506</v>
      </c>
      <c r="B458" s="2" t="s">
        <v>52</v>
      </c>
      <c r="C458" s="2" t="s">
        <v>30</v>
      </c>
      <c r="D458" s="2">
        <v>18</v>
      </c>
      <c r="E458" s="2">
        <v>255.8</v>
      </c>
      <c r="F458" s="2">
        <v>4604.3999999999996</v>
      </c>
      <c r="G458" s="3">
        <v>45939</v>
      </c>
      <c r="H458" s="2" t="s">
        <v>12</v>
      </c>
      <c r="I458" s="4" t="s">
        <v>36</v>
      </c>
      <c r="J458" s="12" t="str">
        <f>TEXT(Data[[#This Row],[PurchaseDate]],"ddd")</f>
        <v>Thu</v>
      </c>
      <c r="K458" s="12" t="str">
        <f>TEXT(Data[[#This Row],[PurchaseDate]],"mmm")</f>
        <v>Oct</v>
      </c>
    </row>
    <row r="459" spans="1:11" x14ac:dyDescent="0.25">
      <c r="A459" s="1" t="s">
        <v>507</v>
      </c>
      <c r="B459" s="2" t="s">
        <v>29</v>
      </c>
      <c r="C459" s="2" t="s">
        <v>30</v>
      </c>
      <c r="D459" s="2">
        <v>20</v>
      </c>
      <c r="E459" s="2">
        <v>205.73</v>
      </c>
      <c r="F459" s="2">
        <v>4114.6000000000004</v>
      </c>
      <c r="G459" s="3">
        <v>45812</v>
      </c>
      <c r="H459" s="2" t="s">
        <v>24</v>
      </c>
      <c r="I459" s="4" t="s">
        <v>58</v>
      </c>
      <c r="J459" s="12" t="str">
        <f>TEXT(Data[[#This Row],[PurchaseDate]],"ddd")</f>
        <v>Wed</v>
      </c>
      <c r="K459" s="12" t="str">
        <f>TEXT(Data[[#This Row],[PurchaseDate]],"mmm")</f>
        <v>Jun</v>
      </c>
    </row>
    <row r="460" spans="1:11" x14ac:dyDescent="0.25">
      <c r="A460" s="1" t="s">
        <v>508</v>
      </c>
      <c r="B460" s="2" t="s">
        <v>19</v>
      </c>
      <c r="C460" s="2" t="s">
        <v>20</v>
      </c>
      <c r="D460" s="2">
        <v>1</v>
      </c>
      <c r="E460" s="2">
        <v>6685.33</v>
      </c>
      <c r="F460" s="2">
        <v>6685.33</v>
      </c>
      <c r="G460" s="3">
        <v>45770</v>
      </c>
      <c r="H460" s="2" t="s">
        <v>12</v>
      </c>
      <c r="I460" s="4" t="s">
        <v>133</v>
      </c>
      <c r="J460" s="12" t="str">
        <f>TEXT(Data[[#This Row],[PurchaseDate]],"ddd")</f>
        <v>Wed</v>
      </c>
      <c r="K460" s="12" t="str">
        <f>TEXT(Data[[#This Row],[PurchaseDate]],"mmm")</f>
        <v>Apr</v>
      </c>
    </row>
    <row r="461" spans="1:11" x14ac:dyDescent="0.25">
      <c r="A461" s="1" t="s">
        <v>509</v>
      </c>
      <c r="B461" s="2" t="s">
        <v>52</v>
      </c>
      <c r="C461" s="2" t="s">
        <v>30</v>
      </c>
      <c r="D461" s="2">
        <v>11</v>
      </c>
      <c r="E461" s="2">
        <v>282.5</v>
      </c>
      <c r="F461" s="2">
        <v>3107.5</v>
      </c>
      <c r="G461" s="3">
        <v>45749</v>
      </c>
      <c r="H461" s="2" t="s">
        <v>17</v>
      </c>
      <c r="I461" s="4" t="s">
        <v>96</v>
      </c>
      <c r="J461" s="12" t="str">
        <f>TEXT(Data[[#This Row],[PurchaseDate]],"ddd")</f>
        <v>Wed</v>
      </c>
      <c r="K461" s="12" t="str">
        <f>TEXT(Data[[#This Row],[PurchaseDate]],"mmm")</f>
        <v>Apr</v>
      </c>
    </row>
    <row r="462" spans="1:11" x14ac:dyDescent="0.25">
      <c r="A462" s="1" t="s">
        <v>510</v>
      </c>
      <c r="B462" s="2" t="s">
        <v>38</v>
      </c>
      <c r="C462" s="2" t="s">
        <v>23</v>
      </c>
      <c r="D462" s="2">
        <v>14</v>
      </c>
      <c r="E462" s="2">
        <v>11.02</v>
      </c>
      <c r="F462" s="2">
        <v>154.28</v>
      </c>
      <c r="G462" s="3">
        <v>45712</v>
      </c>
      <c r="H462" s="2" t="s">
        <v>12</v>
      </c>
      <c r="I462" s="4" t="s">
        <v>83</v>
      </c>
      <c r="J462" s="12" t="str">
        <f>TEXT(Data[[#This Row],[PurchaseDate]],"ddd")</f>
        <v>Mon</v>
      </c>
      <c r="K462" s="12" t="str">
        <f>TEXT(Data[[#This Row],[PurchaseDate]],"mmm")</f>
        <v>Feb</v>
      </c>
    </row>
    <row r="463" spans="1:11" x14ac:dyDescent="0.25">
      <c r="A463" s="1" t="s">
        <v>511</v>
      </c>
      <c r="B463" s="2" t="s">
        <v>54</v>
      </c>
      <c r="C463" s="2" t="s">
        <v>55</v>
      </c>
      <c r="D463" s="2">
        <v>17</v>
      </c>
      <c r="E463" s="2">
        <v>34.659999999999997</v>
      </c>
      <c r="F463" s="2">
        <v>589.22</v>
      </c>
      <c r="G463" s="3">
        <v>45670</v>
      </c>
      <c r="H463" s="2" t="s">
        <v>12</v>
      </c>
      <c r="I463" s="4" t="s">
        <v>47</v>
      </c>
      <c r="J463" s="12" t="str">
        <f>TEXT(Data[[#This Row],[PurchaseDate]],"ddd")</f>
        <v>Mon</v>
      </c>
      <c r="K463" s="12" t="str">
        <f>TEXT(Data[[#This Row],[PurchaseDate]],"mmm")</f>
        <v>Jan</v>
      </c>
    </row>
    <row r="464" spans="1:11" x14ac:dyDescent="0.25">
      <c r="A464" s="1" t="s">
        <v>512</v>
      </c>
      <c r="B464" s="2" t="s">
        <v>22</v>
      </c>
      <c r="C464" s="2" t="s">
        <v>23</v>
      </c>
      <c r="D464" s="2">
        <v>7</v>
      </c>
      <c r="E464" s="2">
        <v>1.42</v>
      </c>
      <c r="F464" s="2">
        <v>9.94</v>
      </c>
      <c r="G464" s="3">
        <v>45812</v>
      </c>
      <c r="H464" s="2" t="s">
        <v>17</v>
      </c>
      <c r="I464" s="4" t="s">
        <v>79</v>
      </c>
      <c r="J464" s="12" t="str">
        <f>TEXT(Data[[#This Row],[PurchaseDate]],"ddd")</f>
        <v>Wed</v>
      </c>
      <c r="K464" s="12" t="str">
        <f>TEXT(Data[[#This Row],[PurchaseDate]],"mmm")</f>
        <v>Jun</v>
      </c>
    </row>
    <row r="465" spans="1:11" x14ac:dyDescent="0.25">
      <c r="A465" s="1" t="s">
        <v>513</v>
      </c>
      <c r="B465" s="2" t="s">
        <v>22</v>
      </c>
      <c r="C465" s="2" t="s">
        <v>23</v>
      </c>
      <c r="D465" s="2">
        <v>3</v>
      </c>
      <c r="E465" s="2">
        <v>2.98</v>
      </c>
      <c r="F465" s="2">
        <v>8.94</v>
      </c>
      <c r="G465" s="3">
        <v>45677</v>
      </c>
      <c r="H465" s="2" t="s">
        <v>12</v>
      </c>
      <c r="I465" s="4" t="s">
        <v>39</v>
      </c>
      <c r="J465" s="12" t="str">
        <f>TEXT(Data[[#This Row],[PurchaseDate]],"ddd")</f>
        <v>Mon</v>
      </c>
      <c r="K465" s="12" t="str">
        <f>TEXT(Data[[#This Row],[PurchaseDate]],"mmm")</f>
        <v>Jan</v>
      </c>
    </row>
    <row r="466" spans="1:11" x14ac:dyDescent="0.25">
      <c r="A466" s="1" t="s">
        <v>514</v>
      </c>
      <c r="B466" s="2" t="s">
        <v>15</v>
      </c>
      <c r="C466" s="2" t="s">
        <v>16</v>
      </c>
      <c r="D466" s="2">
        <v>10</v>
      </c>
      <c r="E466" s="2">
        <v>9.52</v>
      </c>
      <c r="F466" s="2">
        <v>95.2</v>
      </c>
      <c r="G466" s="3">
        <v>45856</v>
      </c>
      <c r="H466" s="2" t="s">
        <v>12</v>
      </c>
      <c r="I466" s="4" t="s">
        <v>58</v>
      </c>
      <c r="J466" s="12" t="str">
        <f>TEXT(Data[[#This Row],[PurchaseDate]],"ddd")</f>
        <v>Fri</v>
      </c>
      <c r="K466" s="12" t="str">
        <f>TEXT(Data[[#This Row],[PurchaseDate]],"mmm")</f>
        <v>Jul</v>
      </c>
    </row>
    <row r="467" spans="1:11" x14ac:dyDescent="0.25">
      <c r="A467" s="1" t="s">
        <v>515</v>
      </c>
      <c r="B467" s="2" t="s">
        <v>10</v>
      </c>
      <c r="C467" s="2" t="s">
        <v>11</v>
      </c>
      <c r="D467" s="2">
        <v>7</v>
      </c>
      <c r="E467" s="2">
        <v>185.08</v>
      </c>
      <c r="F467" s="2">
        <v>1295.56</v>
      </c>
      <c r="G467" s="3">
        <v>45668</v>
      </c>
      <c r="H467" s="2" t="s">
        <v>43</v>
      </c>
      <c r="I467" s="4" t="s">
        <v>79</v>
      </c>
      <c r="J467" s="12" t="str">
        <f>TEXT(Data[[#This Row],[PurchaseDate]],"ddd")</f>
        <v>Sat</v>
      </c>
      <c r="K467" s="12" t="str">
        <f>TEXT(Data[[#This Row],[PurchaseDate]],"mmm")</f>
        <v>Jan</v>
      </c>
    </row>
    <row r="468" spans="1:11" x14ac:dyDescent="0.25">
      <c r="A468" s="1" t="s">
        <v>516</v>
      </c>
      <c r="B468" s="2" t="s">
        <v>38</v>
      </c>
      <c r="C468" s="2" t="s">
        <v>23</v>
      </c>
      <c r="D468" s="2">
        <v>6</v>
      </c>
      <c r="E468" s="2">
        <v>17.63</v>
      </c>
      <c r="F468" s="2">
        <v>105.78</v>
      </c>
      <c r="G468" s="3">
        <v>45820</v>
      </c>
      <c r="H468" s="2" t="s">
        <v>17</v>
      </c>
      <c r="I468" s="4" t="s">
        <v>34</v>
      </c>
      <c r="J468" s="12" t="str">
        <f>TEXT(Data[[#This Row],[PurchaseDate]],"ddd")</f>
        <v>Thu</v>
      </c>
      <c r="K468" s="12" t="str">
        <f>TEXT(Data[[#This Row],[PurchaseDate]],"mmm")</f>
        <v>Jun</v>
      </c>
    </row>
    <row r="469" spans="1:11" x14ac:dyDescent="0.25">
      <c r="A469" s="1" t="s">
        <v>517</v>
      </c>
      <c r="B469" s="2" t="s">
        <v>52</v>
      </c>
      <c r="C469" s="2" t="s">
        <v>30</v>
      </c>
      <c r="D469" s="2">
        <v>17</v>
      </c>
      <c r="E469" s="2">
        <v>202.33</v>
      </c>
      <c r="F469" s="2">
        <v>3439.61</v>
      </c>
      <c r="G469" s="3">
        <v>45696</v>
      </c>
      <c r="H469" s="2" t="s">
        <v>43</v>
      </c>
      <c r="I469" s="4" t="s">
        <v>45</v>
      </c>
      <c r="J469" s="12" t="str">
        <f>TEXT(Data[[#This Row],[PurchaseDate]],"ddd")</f>
        <v>Sat</v>
      </c>
      <c r="K469" s="12" t="str">
        <f>TEXT(Data[[#This Row],[PurchaseDate]],"mmm")</f>
        <v>Feb</v>
      </c>
    </row>
    <row r="470" spans="1:11" x14ac:dyDescent="0.25">
      <c r="A470" s="1" t="s">
        <v>518</v>
      </c>
      <c r="B470" s="2" t="s">
        <v>10</v>
      </c>
      <c r="C470" s="2" t="s">
        <v>11</v>
      </c>
      <c r="D470" s="2">
        <v>11</v>
      </c>
      <c r="E470" s="2">
        <v>150.66</v>
      </c>
      <c r="F470" s="2">
        <v>1657.26</v>
      </c>
      <c r="G470" s="3">
        <v>45723</v>
      </c>
      <c r="H470" s="2" t="s">
        <v>33</v>
      </c>
      <c r="I470" s="4" t="s">
        <v>79</v>
      </c>
      <c r="J470" s="12" t="str">
        <f>TEXT(Data[[#This Row],[PurchaseDate]],"ddd")</f>
        <v>Fri</v>
      </c>
      <c r="K470" s="12" t="str">
        <f>TEXT(Data[[#This Row],[PurchaseDate]],"mmm")</f>
        <v>Mar</v>
      </c>
    </row>
    <row r="471" spans="1:11" x14ac:dyDescent="0.25">
      <c r="A471" s="1" t="s">
        <v>519</v>
      </c>
      <c r="B471" s="2" t="s">
        <v>15</v>
      </c>
      <c r="C471" s="2" t="s">
        <v>16</v>
      </c>
      <c r="D471" s="2">
        <v>10</v>
      </c>
      <c r="E471" s="2">
        <v>14.35</v>
      </c>
      <c r="F471" s="2">
        <v>143.5</v>
      </c>
      <c r="G471" s="3">
        <v>45877</v>
      </c>
      <c r="H471" s="2" t="s">
        <v>33</v>
      </c>
      <c r="I471" s="4" t="s">
        <v>47</v>
      </c>
      <c r="J471" s="12" t="str">
        <f>TEXT(Data[[#This Row],[PurchaseDate]],"ddd")</f>
        <v>Fri</v>
      </c>
      <c r="K471" s="12" t="str">
        <f>TEXT(Data[[#This Row],[PurchaseDate]],"mmm")</f>
        <v>Aug</v>
      </c>
    </row>
    <row r="472" spans="1:11" x14ac:dyDescent="0.25">
      <c r="A472" s="1" t="s">
        <v>520</v>
      </c>
      <c r="B472" s="2" t="s">
        <v>38</v>
      </c>
      <c r="C472" s="2" t="s">
        <v>23</v>
      </c>
      <c r="D472" s="2">
        <v>15</v>
      </c>
      <c r="E472" s="2">
        <v>18.14</v>
      </c>
      <c r="F472" s="2">
        <v>272.10000000000002</v>
      </c>
      <c r="G472" s="3">
        <v>45858</v>
      </c>
      <c r="H472" s="2" t="s">
        <v>17</v>
      </c>
      <c r="I472" s="4" t="s">
        <v>34</v>
      </c>
      <c r="J472" s="12" t="str">
        <f>TEXT(Data[[#This Row],[PurchaseDate]],"ddd")</f>
        <v>Sun</v>
      </c>
      <c r="K472" s="12" t="str">
        <f>TEXT(Data[[#This Row],[PurchaseDate]],"mmm")</f>
        <v>Jul</v>
      </c>
    </row>
    <row r="473" spans="1:11" x14ac:dyDescent="0.25">
      <c r="A473" s="1" t="s">
        <v>521</v>
      </c>
      <c r="B473" s="2" t="s">
        <v>60</v>
      </c>
      <c r="C473" s="2" t="s">
        <v>30</v>
      </c>
      <c r="D473" s="2">
        <v>18</v>
      </c>
      <c r="E473" s="2">
        <v>840.57</v>
      </c>
      <c r="F473" s="2">
        <v>15130.26</v>
      </c>
      <c r="G473" s="3">
        <v>45721</v>
      </c>
      <c r="H473" s="2" t="s">
        <v>12</v>
      </c>
      <c r="I473" s="4" t="s">
        <v>96</v>
      </c>
      <c r="J473" s="12" t="str">
        <f>TEXT(Data[[#This Row],[PurchaseDate]],"ddd")</f>
        <v>Wed</v>
      </c>
      <c r="K473" s="12" t="str">
        <f>TEXT(Data[[#This Row],[PurchaseDate]],"mmm")</f>
        <v>Mar</v>
      </c>
    </row>
    <row r="474" spans="1:11" x14ac:dyDescent="0.25">
      <c r="A474" s="1" t="s">
        <v>522</v>
      </c>
      <c r="B474" s="2" t="s">
        <v>19</v>
      </c>
      <c r="C474" s="2" t="s">
        <v>20</v>
      </c>
      <c r="D474" s="2">
        <v>1</v>
      </c>
      <c r="E474" s="2">
        <v>5151.72</v>
      </c>
      <c r="F474" s="2">
        <v>5151.72</v>
      </c>
      <c r="G474" s="3">
        <v>45867</v>
      </c>
      <c r="H474" s="2" t="s">
        <v>12</v>
      </c>
      <c r="I474" s="4" t="s">
        <v>64</v>
      </c>
      <c r="J474" s="12" t="str">
        <f>TEXT(Data[[#This Row],[PurchaseDate]],"ddd")</f>
        <v>Tue</v>
      </c>
      <c r="K474" s="12" t="str">
        <f>TEXT(Data[[#This Row],[PurchaseDate]],"mmm")</f>
        <v>Jul</v>
      </c>
    </row>
    <row r="475" spans="1:11" x14ac:dyDescent="0.25">
      <c r="A475" s="1" t="s">
        <v>523</v>
      </c>
      <c r="B475" s="2" t="s">
        <v>22</v>
      </c>
      <c r="C475" s="2" t="s">
        <v>23</v>
      </c>
      <c r="D475" s="2">
        <v>16</v>
      </c>
      <c r="E475" s="2">
        <v>1.81</v>
      </c>
      <c r="F475" s="2">
        <v>28.96</v>
      </c>
      <c r="G475" s="3">
        <v>45698</v>
      </c>
      <c r="H475" s="2" t="s">
        <v>12</v>
      </c>
      <c r="I475" s="4" t="s">
        <v>31</v>
      </c>
      <c r="J475" s="12" t="str">
        <f>TEXT(Data[[#This Row],[PurchaseDate]],"ddd")</f>
        <v>Mon</v>
      </c>
      <c r="K475" s="12" t="str">
        <f>TEXT(Data[[#This Row],[PurchaseDate]],"mmm")</f>
        <v>Feb</v>
      </c>
    </row>
    <row r="476" spans="1:11" x14ac:dyDescent="0.25">
      <c r="A476" s="1" t="s">
        <v>524</v>
      </c>
      <c r="B476" s="2" t="s">
        <v>38</v>
      </c>
      <c r="C476" s="2" t="s">
        <v>23</v>
      </c>
      <c r="D476" s="2">
        <v>16</v>
      </c>
      <c r="E476" s="2">
        <v>13.12</v>
      </c>
      <c r="F476" s="2">
        <v>209.92</v>
      </c>
      <c r="G476" s="3">
        <v>45914</v>
      </c>
      <c r="H476" s="2" t="s">
        <v>17</v>
      </c>
      <c r="I476" s="4" t="s">
        <v>34</v>
      </c>
      <c r="J476" s="12" t="str">
        <f>TEXT(Data[[#This Row],[PurchaseDate]],"ddd")</f>
        <v>Sun</v>
      </c>
      <c r="K476" s="12" t="str">
        <f>TEXT(Data[[#This Row],[PurchaseDate]],"mmm")</f>
        <v>Sep</v>
      </c>
    </row>
    <row r="477" spans="1:11" x14ac:dyDescent="0.25">
      <c r="A477" s="1" t="s">
        <v>525</v>
      </c>
      <c r="B477" s="2" t="s">
        <v>19</v>
      </c>
      <c r="C477" s="2" t="s">
        <v>20</v>
      </c>
      <c r="D477" s="2">
        <v>1</v>
      </c>
      <c r="E477" s="2">
        <v>5159.92</v>
      </c>
      <c r="F477" s="2">
        <v>5159.92</v>
      </c>
      <c r="G477" s="3">
        <v>45941</v>
      </c>
      <c r="H477" s="2" t="s">
        <v>12</v>
      </c>
      <c r="I477" s="4" t="s">
        <v>49</v>
      </c>
      <c r="J477" s="12" t="str">
        <f>TEXT(Data[[#This Row],[PurchaseDate]],"ddd")</f>
        <v>Sat</v>
      </c>
      <c r="K477" s="12" t="str">
        <f>TEXT(Data[[#This Row],[PurchaseDate]],"mmm")</f>
        <v>Oct</v>
      </c>
    </row>
    <row r="478" spans="1:11" x14ac:dyDescent="0.25">
      <c r="A478" s="1" t="s">
        <v>526</v>
      </c>
      <c r="B478" s="2" t="s">
        <v>54</v>
      </c>
      <c r="C478" s="2" t="s">
        <v>55</v>
      </c>
      <c r="D478" s="2">
        <v>15</v>
      </c>
      <c r="E478" s="2">
        <v>21.66</v>
      </c>
      <c r="F478" s="2">
        <v>324.89999999999998</v>
      </c>
      <c r="G478" s="3">
        <v>46005</v>
      </c>
      <c r="H478" s="2" t="s">
        <v>33</v>
      </c>
      <c r="I478" s="4" t="s">
        <v>34</v>
      </c>
      <c r="J478" s="12" t="str">
        <f>TEXT(Data[[#This Row],[PurchaseDate]],"ddd")</f>
        <v>Sun</v>
      </c>
      <c r="K478" s="12" t="str">
        <f>TEXT(Data[[#This Row],[PurchaseDate]],"mmm")</f>
        <v>Dec</v>
      </c>
    </row>
    <row r="479" spans="1:11" x14ac:dyDescent="0.25">
      <c r="A479" s="1" t="s">
        <v>527</v>
      </c>
      <c r="B479" s="2" t="s">
        <v>38</v>
      </c>
      <c r="C479" s="2" t="s">
        <v>23</v>
      </c>
      <c r="D479" s="2">
        <v>6</v>
      </c>
      <c r="E479" s="2">
        <v>16.09</v>
      </c>
      <c r="F479" s="2">
        <v>96.54</v>
      </c>
      <c r="G479" s="3">
        <v>45879</v>
      </c>
      <c r="H479" s="2" t="s">
        <v>33</v>
      </c>
      <c r="I479" s="4" t="s">
        <v>39</v>
      </c>
      <c r="J479" s="12" t="str">
        <f>TEXT(Data[[#This Row],[PurchaseDate]],"ddd")</f>
        <v>Sun</v>
      </c>
      <c r="K479" s="12" t="str">
        <f>TEXT(Data[[#This Row],[PurchaseDate]],"mmm")</f>
        <v>Aug</v>
      </c>
    </row>
    <row r="480" spans="1:11" x14ac:dyDescent="0.25">
      <c r="A480" s="1" t="s">
        <v>528</v>
      </c>
      <c r="B480" s="2" t="s">
        <v>15</v>
      </c>
      <c r="C480" s="2" t="s">
        <v>16</v>
      </c>
      <c r="D480" s="2">
        <v>2</v>
      </c>
      <c r="E480" s="2">
        <v>14.14</v>
      </c>
      <c r="F480" s="2">
        <v>28.28</v>
      </c>
      <c r="G480" s="3">
        <v>46017</v>
      </c>
      <c r="H480" s="2" t="s">
        <v>43</v>
      </c>
      <c r="I480" s="4" t="s">
        <v>27</v>
      </c>
      <c r="J480" s="12" t="str">
        <f>TEXT(Data[[#This Row],[PurchaseDate]],"ddd")</f>
        <v>Fri</v>
      </c>
      <c r="K480" s="12" t="str">
        <f>TEXT(Data[[#This Row],[PurchaseDate]],"mmm")</f>
        <v>Dec</v>
      </c>
    </row>
    <row r="481" spans="1:11" x14ac:dyDescent="0.25">
      <c r="A481" s="1" t="s">
        <v>529</v>
      </c>
      <c r="B481" s="2" t="s">
        <v>38</v>
      </c>
      <c r="C481" s="2" t="s">
        <v>23</v>
      </c>
      <c r="D481" s="2">
        <v>6</v>
      </c>
      <c r="E481" s="2">
        <v>12.06</v>
      </c>
      <c r="F481" s="2">
        <v>72.36</v>
      </c>
      <c r="G481" s="3">
        <v>45866</v>
      </c>
      <c r="H481" s="2" t="s">
        <v>17</v>
      </c>
      <c r="I481" s="4" t="s">
        <v>45</v>
      </c>
      <c r="J481" s="12" t="str">
        <f>TEXT(Data[[#This Row],[PurchaseDate]],"ddd")</f>
        <v>Mon</v>
      </c>
      <c r="K481" s="12" t="str">
        <f>TEXT(Data[[#This Row],[PurchaseDate]],"mmm")</f>
        <v>Jul</v>
      </c>
    </row>
    <row r="482" spans="1:11" x14ac:dyDescent="0.25">
      <c r="A482" s="1" t="s">
        <v>530</v>
      </c>
      <c r="B482" s="2" t="s">
        <v>15</v>
      </c>
      <c r="C482" s="2" t="s">
        <v>16</v>
      </c>
      <c r="D482" s="2">
        <v>6</v>
      </c>
      <c r="E482" s="2">
        <v>7</v>
      </c>
      <c r="F482" s="2">
        <v>42</v>
      </c>
      <c r="G482" s="3">
        <v>45789</v>
      </c>
      <c r="H482" s="2" t="s">
        <v>12</v>
      </c>
      <c r="I482" s="4" t="s">
        <v>69</v>
      </c>
      <c r="J482" s="12" t="str">
        <f>TEXT(Data[[#This Row],[PurchaseDate]],"ddd")</f>
        <v>Mon</v>
      </c>
      <c r="K482" s="12" t="str">
        <f>TEXT(Data[[#This Row],[PurchaseDate]],"mmm")</f>
        <v>May</v>
      </c>
    </row>
    <row r="483" spans="1:11" x14ac:dyDescent="0.25">
      <c r="A483" s="1" t="s">
        <v>531</v>
      </c>
      <c r="B483" s="2" t="s">
        <v>29</v>
      </c>
      <c r="C483" s="2" t="s">
        <v>30</v>
      </c>
      <c r="D483" s="2">
        <v>16</v>
      </c>
      <c r="E483" s="2">
        <v>260.2</v>
      </c>
      <c r="F483" s="2">
        <v>4163.2</v>
      </c>
      <c r="G483" s="3">
        <v>45902</v>
      </c>
      <c r="H483" s="2" t="s">
        <v>12</v>
      </c>
      <c r="I483" s="4" t="s">
        <v>45</v>
      </c>
      <c r="J483" s="12" t="str">
        <f>TEXT(Data[[#This Row],[PurchaseDate]],"ddd")</f>
        <v>Tue</v>
      </c>
      <c r="K483" s="12" t="str">
        <f>TEXT(Data[[#This Row],[PurchaseDate]],"mmm")</f>
        <v>Sep</v>
      </c>
    </row>
    <row r="484" spans="1:11" x14ac:dyDescent="0.25">
      <c r="A484" s="1" t="s">
        <v>532</v>
      </c>
      <c r="B484" s="2" t="s">
        <v>52</v>
      </c>
      <c r="C484" s="2" t="s">
        <v>30</v>
      </c>
      <c r="D484" s="2">
        <v>7</v>
      </c>
      <c r="E484" s="2">
        <v>348.06</v>
      </c>
      <c r="F484" s="2">
        <v>2436.42</v>
      </c>
      <c r="G484" s="3">
        <v>45772</v>
      </c>
      <c r="H484" s="2" t="s">
        <v>43</v>
      </c>
      <c r="I484" s="4" t="s">
        <v>34</v>
      </c>
      <c r="J484" s="12" t="str">
        <f>TEXT(Data[[#This Row],[PurchaseDate]],"ddd")</f>
        <v>Fri</v>
      </c>
      <c r="K484" s="12" t="str">
        <f>TEXT(Data[[#This Row],[PurchaseDate]],"mmm")</f>
        <v>Apr</v>
      </c>
    </row>
    <row r="485" spans="1:11" x14ac:dyDescent="0.25">
      <c r="A485" s="1" t="s">
        <v>533</v>
      </c>
      <c r="B485" s="2" t="s">
        <v>38</v>
      </c>
      <c r="C485" s="2" t="s">
        <v>23</v>
      </c>
      <c r="D485" s="2">
        <v>10</v>
      </c>
      <c r="E485" s="2">
        <v>18.07</v>
      </c>
      <c r="F485" s="2">
        <v>180.7</v>
      </c>
      <c r="G485" s="3">
        <v>45767</v>
      </c>
      <c r="H485" s="2" t="s">
        <v>12</v>
      </c>
      <c r="I485" s="4" t="s">
        <v>56</v>
      </c>
      <c r="J485" s="12" t="str">
        <f>TEXT(Data[[#This Row],[PurchaseDate]],"ddd")</f>
        <v>Sun</v>
      </c>
      <c r="K485" s="12" t="str">
        <f>TEXT(Data[[#This Row],[PurchaseDate]],"mmm")</f>
        <v>Apr</v>
      </c>
    </row>
    <row r="486" spans="1:11" x14ac:dyDescent="0.25">
      <c r="A486" s="1" t="s">
        <v>534</v>
      </c>
      <c r="B486" s="2" t="s">
        <v>29</v>
      </c>
      <c r="C486" s="2" t="s">
        <v>30</v>
      </c>
      <c r="D486" s="2">
        <v>16</v>
      </c>
      <c r="E486" s="2">
        <v>200.15</v>
      </c>
      <c r="F486" s="2">
        <v>3202.4</v>
      </c>
      <c r="G486" s="3">
        <v>45943</v>
      </c>
      <c r="H486" s="2" t="s">
        <v>33</v>
      </c>
      <c r="I486" s="4" t="s">
        <v>64</v>
      </c>
      <c r="J486" s="12" t="str">
        <f>TEXT(Data[[#This Row],[PurchaseDate]],"ddd")</f>
        <v>Mon</v>
      </c>
      <c r="K486" s="12" t="str">
        <f>TEXT(Data[[#This Row],[PurchaseDate]],"mmm")</f>
        <v>Oct</v>
      </c>
    </row>
    <row r="487" spans="1:11" x14ac:dyDescent="0.25">
      <c r="A487" s="1" t="s">
        <v>535</v>
      </c>
      <c r="B487" s="2" t="s">
        <v>54</v>
      </c>
      <c r="C487" s="2" t="s">
        <v>55</v>
      </c>
      <c r="D487" s="2">
        <v>19</v>
      </c>
      <c r="E487" s="2">
        <v>27.44</v>
      </c>
      <c r="F487" s="2">
        <v>521.36</v>
      </c>
      <c r="G487" s="3">
        <v>45824</v>
      </c>
      <c r="H487" s="2" t="s">
        <v>43</v>
      </c>
      <c r="I487" s="4" t="s">
        <v>79</v>
      </c>
      <c r="J487" s="12" t="str">
        <f>TEXT(Data[[#This Row],[PurchaseDate]],"ddd")</f>
        <v>Mon</v>
      </c>
      <c r="K487" s="12" t="str">
        <f>TEXT(Data[[#This Row],[PurchaseDate]],"mmm")</f>
        <v>Jun</v>
      </c>
    </row>
    <row r="488" spans="1:11" x14ac:dyDescent="0.25">
      <c r="A488" s="1" t="s">
        <v>536</v>
      </c>
      <c r="B488" s="2" t="s">
        <v>22</v>
      </c>
      <c r="C488" s="2" t="s">
        <v>23</v>
      </c>
      <c r="D488" s="2">
        <v>12</v>
      </c>
      <c r="E488" s="2">
        <v>1.24</v>
      </c>
      <c r="F488" s="2">
        <v>14.88</v>
      </c>
      <c r="G488" s="3">
        <v>45896</v>
      </c>
      <c r="H488" s="2" t="s">
        <v>33</v>
      </c>
      <c r="I488" s="4" t="s">
        <v>58</v>
      </c>
      <c r="J488" s="12" t="str">
        <f>TEXT(Data[[#This Row],[PurchaseDate]],"ddd")</f>
        <v>Wed</v>
      </c>
      <c r="K488" s="12" t="str">
        <f>TEXT(Data[[#This Row],[PurchaseDate]],"mmm")</f>
        <v>Aug</v>
      </c>
    </row>
    <row r="489" spans="1:11" x14ac:dyDescent="0.25">
      <c r="A489" s="1" t="s">
        <v>537</v>
      </c>
      <c r="B489" s="2" t="s">
        <v>60</v>
      </c>
      <c r="C489" s="2" t="s">
        <v>30</v>
      </c>
      <c r="D489" s="2">
        <v>18</v>
      </c>
      <c r="E489" s="2">
        <v>969.94</v>
      </c>
      <c r="F489" s="2">
        <v>17458.919999999998</v>
      </c>
      <c r="G489" s="3">
        <v>45814</v>
      </c>
      <c r="H489" s="2" t="s">
        <v>12</v>
      </c>
      <c r="I489" s="4" t="s">
        <v>45</v>
      </c>
      <c r="J489" s="12" t="str">
        <f>TEXT(Data[[#This Row],[PurchaseDate]],"ddd")</f>
        <v>Fri</v>
      </c>
      <c r="K489" s="12" t="str">
        <f>TEXT(Data[[#This Row],[PurchaseDate]],"mmm")</f>
        <v>Jun</v>
      </c>
    </row>
    <row r="490" spans="1:11" x14ac:dyDescent="0.25">
      <c r="A490" s="1" t="s">
        <v>538</v>
      </c>
      <c r="B490" s="2" t="s">
        <v>60</v>
      </c>
      <c r="C490" s="2" t="s">
        <v>30</v>
      </c>
      <c r="D490" s="2">
        <v>15</v>
      </c>
      <c r="E490" s="2">
        <v>836.99</v>
      </c>
      <c r="F490" s="2">
        <v>12554.85</v>
      </c>
      <c r="G490" s="3">
        <v>46009</v>
      </c>
      <c r="H490" s="2" t="s">
        <v>17</v>
      </c>
      <c r="I490" s="4" t="s">
        <v>45</v>
      </c>
      <c r="J490" s="12" t="str">
        <f>TEXT(Data[[#This Row],[PurchaseDate]],"ddd")</f>
        <v>Thu</v>
      </c>
      <c r="K490" s="12" t="str">
        <f>TEXT(Data[[#This Row],[PurchaseDate]],"mmm")</f>
        <v>Dec</v>
      </c>
    </row>
    <row r="491" spans="1:11" x14ac:dyDescent="0.25">
      <c r="A491" s="1" t="s">
        <v>539</v>
      </c>
      <c r="B491" s="2" t="s">
        <v>38</v>
      </c>
      <c r="C491" s="2" t="s">
        <v>23</v>
      </c>
      <c r="D491" s="2">
        <v>9</v>
      </c>
      <c r="E491" s="2">
        <v>13.57</v>
      </c>
      <c r="F491" s="2">
        <v>122.13</v>
      </c>
      <c r="G491" s="3">
        <v>45805</v>
      </c>
      <c r="H491" s="2" t="s">
        <v>43</v>
      </c>
      <c r="I491" s="4" t="s">
        <v>64</v>
      </c>
      <c r="J491" s="12" t="str">
        <f>TEXT(Data[[#This Row],[PurchaseDate]],"ddd")</f>
        <v>Wed</v>
      </c>
      <c r="K491" s="12" t="str">
        <f>TEXT(Data[[#This Row],[PurchaseDate]],"mmm")</f>
        <v>May</v>
      </c>
    </row>
    <row r="492" spans="1:11" x14ac:dyDescent="0.25">
      <c r="A492" s="1" t="s">
        <v>540</v>
      </c>
      <c r="B492" s="2" t="s">
        <v>54</v>
      </c>
      <c r="C492" s="2" t="s">
        <v>55</v>
      </c>
      <c r="D492" s="2">
        <v>5</v>
      </c>
      <c r="E492" s="2">
        <v>20.67</v>
      </c>
      <c r="F492" s="2">
        <v>103.35</v>
      </c>
      <c r="G492" s="3">
        <v>45765</v>
      </c>
      <c r="H492" s="2" t="s">
        <v>43</v>
      </c>
      <c r="I492" s="4" t="s">
        <v>36</v>
      </c>
      <c r="J492" s="12" t="str">
        <f>TEXT(Data[[#This Row],[PurchaseDate]],"ddd")</f>
        <v>Fri</v>
      </c>
      <c r="K492" s="12" t="str">
        <f>TEXT(Data[[#This Row],[PurchaseDate]],"mmm")</f>
        <v>Apr</v>
      </c>
    </row>
    <row r="493" spans="1:11" x14ac:dyDescent="0.25">
      <c r="A493" s="1" t="s">
        <v>541</v>
      </c>
      <c r="B493" s="2" t="s">
        <v>54</v>
      </c>
      <c r="C493" s="2" t="s">
        <v>55</v>
      </c>
      <c r="D493" s="2">
        <v>16</v>
      </c>
      <c r="E493" s="2">
        <v>28.97</v>
      </c>
      <c r="F493" s="2">
        <v>463.52</v>
      </c>
      <c r="G493" s="3">
        <v>45970</v>
      </c>
      <c r="H493" s="2" t="s">
        <v>33</v>
      </c>
      <c r="I493" s="4" t="s">
        <v>79</v>
      </c>
      <c r="J493" s="12" t="str">
        <f>TEXT(Data[[#This Row],[PurchaseDate]],"ddd")</f>
        <v>Sun</v>
      </c>
      <c r="K493" s="12" t="str">
        <f>TEXT(Data[[#This Row],[PurchaseDate]],"mmm")</f>
        <v>Nov</v>
      </c>
    </row>
    <row r="494" spans="1:11" x14ac:dyDescent="0.25">
      <c r="A494" s="1" t="s">
        <v>542</v>
      </c>
      <c r="B494" s="2" t="s">
        <v>54</v>
      </c>
      <c r="C494" s="2" t="s">
        <v>55</v>
      </c>
      <c r="D494" s="2">
        <v>12</v>
      </c>
      <c r="E494" s="2">
        <v>23.55</v>
      </c>
      <c r="F494" s="2">
        <v>282.60000000000002</v>
      </c>
      <c r="G494" s="3">
        <v>45796</v>
      </c>
      <c r="H494" s="2" t="s">
        <v>17</v>
      </c>
      <c r="I494" s="4" t="s">
        <v>56</v>
      </c>
      <c r="J494" s="12" t="str">
        <f>TEXT(Data[[#This Row],[PurchaseDate]],"ddd")</f>
        <v>Mon</v>
      </c>
      <c r="K494" s="12" t="str">
        <f>TEXT(Data[[#This Row],[PurchaseDate]],"mmm")</f>
        <v>May</v>
      </c>
    </row>
    <row r="495" spans="1:11" x14ac:dyDescent="0.25">
      <c r="A495" s="1" t="s">
        <v>543</v>
      </c>
      <c r="B495" s="2" t="s">
        <v>38</v>
      </c>
      <c r="C495" s="2" t="s">
        <v>23</v>
      </c>
      <c r="D495" s="2">
        <v>4</v>
      </c>
      <c r="E495" s="2">
        <v>15.67</v>
      </c>
      <c r="F495" s="2">
        <v>62.68</v>
      </c>
      <c r="G495" s="3">
        <v>45841</v>
      </c>
      <c r="H495" s="2" t="s">
        <v>17</v>
      </c>
      <c r="I495" s="4" t="s">
        <v>34</v>
      </c>
      <c r="J495" s="12" t="str">
        <f>TEXT(Data[[#This Row],[PurchaseDate]],"ddd")</f>
        <v>Thu</v>
      </c>
      <c r="K495" s="12" t="str">
        <f>TEXT(Data[[#This Row],[PurchaseDate]],"mmm")</f>
        <v>Jul</v>
      </c>
    </row>
    <row r="496" spans="1:11" x14ac:dyDescent="0.25">
      <c r="A496" s="1" t="s">
        <v>544</v>
      </c>
      <c r="B496" s="2" t="s">
        <v>52</v>
      </c>
      <c r="C496" s="2" t="s">
        <v>30</v>
      </c>
      <c r="D496" s="2">
        <v>4</v>
      </c>
      <c r="E496" s="2">
        <v>310.33999999999997</v>
      </c>
      <c r="F496" s="2">
        <v>1241.3599999999999</v>
      </c>
      <c r="G496" s="3">
        <v>45666</v>
      </c>
      <c r="H496" s="2" t="s">
        <v>43</v>
      </c>
      <c r="I496" s="4" t="s">
        <v>64</v>
      </c>
      <c r="J496" s="12" t="str">
        <f>TEXT(Data[[#This Row],[PurchaseDate]],"ddd")</f>
        <v>Thu</v>
      </c>
      <c r="K496" s="12" t="str">
        <f>TEXT(Data[[#This Row],[PurchaseDate]],"mmm")</f>
        <v>Jan</v>
      </c>
    </row>
    <row r="497" spans="1:11" x14ac:dyDescent="0.25">
      <c r="A497" s="1" t="s">
        <v>545</v>
      </c>
      <c r="B497" s="2" t="s">
        <v>41</v>
      </c>
      <c r="C497" s="2" t="s">
        <v>11</v>
      </c>
      <c r="D497" s="2">
        <v>19</v>
      </c>
      <c r="E497" s="2">
        <v>104.12</v>
      </c>
      <c r="F497" s="2">
        <v>1978.28</v>
      </c>
      <c r="G497" s="3">
        <v>45889</v>
      </c>
      <c r="H497" s="2" t="s">
        <v>43</v>
      </c>
      <c r="I497" s="4" t="s">
        <v>94</v>
      </c>
      <c r="J497" s="12" t="str">
        <f>TEXT(Data[[#This Row],[PurchaseDate]],"ddd")</f>
        <v>Wed</v>
      </c>
      <c r="K497" s="12" t="str">
        <f>TEXT(Data[[#This Row],[PurchaseDate]],"mmm")</f>
        <v>Aug</v>
      </c>
    </row>
    <row r="498" spans="1:11" x14ac:dyDescent="0.25">
      <c r="A498" s="1" t="s">
        <v>546</v>
      </c>
      <c r="B498" s="2" t="s">
        <v>60</v>
      </c>
      <c r="C498" s="2" t="s">
        <v>30</v>
      </c>
      <c r="D498" s="2">
        <v>5</v>
      </c>
      <c r="E498" s="2">
        <v>919.08</v>
      </c>
      <c r="F498" s="2">
        <v>4595.3999999999996</v>
      </c>
      <c r="G498" s="3">
        <v>45884</v>
      </c>
      <c r="H498" s="2" t="s">
        <v>33</v>
      </c>
      <c r="I498" s="4" t="s">
        <v>45</v>
      </c>
      <c r="J498" s="12" t="str">
        <f>TEXT(Data[[#This Row],[PurchaseDate]],"ddd")</f>
        <v>Fri</v>
      </c>
      <c r="K498" s="12" t="str">
        <f>TEXT(Data[[#This Row],[PurchaseDate]],"mmm")</f>
        <v>Aug</v>
      </c>
    </row>
    <row r="499" spans="1:11" x14ac:dyDescent="0.25">
      <c r="A499" s="1" t="s">
        <v>547</v>
      </c>
      <c r="B499" s="2" t="s">
        <v>22</v>
      </c>
      <c r="C499" s="2" t="s">
        <v>23</v>
      </c>
      <c r="D499" s="2">
        <v>3</v>
      </c>
      <c r="E499" s="2">
        <v>1.51</v>
      </c>
      <c r="F499" s="2">
        <v>4.53</v>
      </c>
      <c r="G499" s="3">
        <v>45789</v>
      </c>
      <c r="H499" s="2" t="s">
        <v>43</v>
      </c>
      <c r="I499" s="4" t="s">
        <v>83</v>
      </c>
      <c r="J499" s="12" t="str">
        <f>TEXT(Data[[#This Row],[PurchaseDate]],"ddd")</f>
        <v>Mon</v>
      </c>
      <c r="K499" s="12" t="str">
        <f>TEXT(Data[[#This Row],[PurchaseDate]],"mmm")</f>
        <v>May</v>
      </c>
    </row>
    <row r="500" spans="1:11" x14ac:dyDescent="0.25">
      <c r="A500" s="1" t="s">
        <v>548</v>
      </c>
      <c r="B500" s="2" t="s">
        <v>41</v>
      </c>
      <c r="C500" s="2" t="s">
        <v>11</v>
      </c>
      <c r="D500" s="2">
        <v>17</v>
      </c>
      <c r="E500" s="2">
        <v>162.01</v>
      </c>
      <c r="F500" s="2">
        <v>2754.17</v>
      </c>
      <c r="G500" s="3">
        <v>45730</v>
      </c>
      <c r="H500" s="2" t="s">
        <v>24</v>
      </c>
      <c r="I500" s="4" t="s">
        <v>69</v>
      </c>
      <c r="J500" s="12" t="str">
        <f>TEXT(Data[[#This Row],[PurchaseDate]],"ddd")</f>
        <v>Fri</v>
      </c>
      <c r="K500" s="12" t="str">
        <f>TEXT(Data[[#This Row],[PurchaseDate]],"mmm")</f>
        <v>Mar</v>
      </c>
    </row>
    <row r="501" spans="1:11" x14ac:dyDescent="0.25">
      <c r="A501" s="5" t="s">
        <v>549</v>
      </c>
      <c r="B501" s="6" t="s">
        <v>15</v>
      </c>
      <c r="C501" s="6" t="s">
        <v>16</v>
      </c>
      <c r="D501" s="6">
        <v>4</v>
      </c>
      <c r="E501" s="6">
        <v>13.64</v>
      </c>
      <c r="F501" s="6">
        <v>54.56</v>
      </c>
      <c r="G501" s="7">
        <v>45718</v>
      </c>
      <c r="H501" s="6" t="s">
        <v>12</v>
      </c>
      <c r="I501" s="8" t="s">
        <v>94</v>
      </c>
      <c r="J501" s="14" t="str">
        <f>TEXT(Data[[#This Row],[PurchaseDate]],"ddd")</f>
        <v>Sun</v>
      </c>
      <c r="K501" s="14" t="str">
        <f>TEXT(Data[[#This Row],[PurchaseDate]],"mmm")</f>
        <v>Mar</v>
      </c>
    </row>
  </sheetData>
  <dataValidations count="6">
    <dataValidation type="list" allowBlank="1" showDropDown="1" showErrorMessage="1" sqref="A2:A501" xr:uid="{2DEB1754-D79B-4B33-8651-54757F775E4A}">
      <formula1>"TXN001,TXN002,TXN003,TXN004,TXN005,TXN006,TXN007,TXN008,TXN009,TXN010,TXN011,TXN012,TXN013,TXN014,TXN015,TXN016,TXN017,TXN018,TXN019,TXN020,TXN021,TXN022,TXN023,TXN024,TXN025,TXN026,TXN027,TXN028,TXN029,TXN030,TXN031,TXN032,TXN033,TXN034,TXN035,TXN036,TXN"&amp;"037,TXN038,TXN039,TXN040,TXN041,TXN042,TXN043,TXN044,TXN045,TXN046,TXN047,TXN048,TXN049,TXN050,TXN051,TXN052,TXN053,TXN054,TXN055,TXN056,TXN057,TXN058,TXN059,TXN060,TXN061,TXN062,TXN063,TXN064,TXN065,TXN066,TXN067,TXN068,TXN069,TXN070,TXN071,TXN072,TXN073"&amp;",TXN074,TXN075,TXN076,TXN077,TXN078,TXN079,TXN080,TXN081,TXN082,TXN083,TXN084,TXN085,TXN086,TXN087,TXN088,TXN089,TXN090,TXN091,TXN092,TXN093,TXN094,TXN095,TXN096,TXN097,TXN098,TXN099,TXN100,TXN101,TXN102,TXN103,TXN104,TXN105,TXN106,TXN107,TXN108,TXN109,TX"&amp;"N110,TXN111,TXN112,TXN113,TXN114,TXN115,TXN116,TXN117,TXN118,TXN119,TXN120,TXN121,TXN122,TXN123,TXN124,TXN125,TXN126,TXN127,TXN128,TXN129,TXN130,TXN131,TXN132,TXN133,TXN134,TXN135,TXN136,TXN137,TXN138,TXN139,TXN140,TXN141,TXN142,TXN143,TXN144,TXN145,TXN14"&amp;"6,TXN147,TXN148,TXN149,TXN150,TXN151,TXN152,TXN153,TXN154,TXN155,TXN156,TXN157,TXN158,TXN159,TXN160,TXN161,TXN162,TXN163,TXN164,TXN165,TXN166,TXN167,TXN168,TXN169,TXN170,TXN171,TXN172,TXN173,TXN174,TXN175,TXN176,TXN177,TXN178,TXN179,TXN180,TXN181,TXN182,T"&amp;"XN183,TXN184,TXN185,TXN186,TXN187,TXN188,TXN189,TXN190,TXN191,TXN192,TXN193,TXN194,TXN195,TXN196,TXN197,TXN198,TXN199,TXN200,TXN201,TXN202,TXN203,TXN204,TXN205,TXN206,TXN207,TXN208,TXN209,TXN210,TXN211,TXN212,TXN213,TXN214,TXN215,TXN216,TXN217,TXN218,TXN2"&amp;"19,TXN220,TXN221,TXN222,TXN223,TXN224,TXN225,TXN226,TXN227,TXN228,TXN229,TXN230,TXN231,TXN232,TXN233,TXN234,TXN235,TXN236,TXN237,TXN238,TXN239,TXN240,TXN241,TXN242,TXN243,TXN244,TXN245,TXN246,TXN247,TXN248,TXN249,TXN250,TXN251,TXN252,TXN253,TXN254,TXN255,"&amp;"TXN256,TXN257,TXN258,TXN259,TXN260,TXN261,TXN262,TXN263,TXN264,TXN265,TXN266,TXN267,TXN268,TXN269,TXN270,TXN271,TXN272,TXN273,TXN274,TXN275,TXN276,TXN277,TXN278,TXN279,TXN280,TXN281,TXN282,TXN283,TXN284,TXN285,TXN286,TXN287,TXN288,TXN289,TXN290,TXN291,TXN"&amp;"292,TXN293,TXN294,TXN295,TXN296,TXN297,TXN298,TXN299,TXN300,TXN301,TXN302,TXN303,TXN304,TXN305,TXN306,TXN307,TXN308,TXN309,TXN310,TXN311,TXN312,TXN313,TXN314,TXN315,TXN316,TXN317,TXN318,TXN319,TXN320,TXN321,TXN322,TXN323,TXN324,TXN325,TXN326,TXN327,TXN328"&amp;",TXN329,TXN330,TXN331,TXN332,TXN333,TXN334,TXN335,TXN336,TXN337,TXN338,TXN339,TXN340,TXN341,TXN342,TXN343,TXN344,TXN345,TXN346,TXN347,TXN348,TXN349,TXN350,TXN351,TXN352,TXN353,TXN354,TXN355,TXN356,TXN357,TXN358,TXN359,TXN360,TXN361,TXN362,TXN363,TXN364,TX"&amp;"N365,TXN366,TXN367,TXN368,TXN369,TXN370,TXN371,TXN372,TXN373,TXN374,TXN375,TXN376,TXN377,TXN378,TXN379,TXN380,TXN381,TXN382,TXN383,TXN384,TXN385,TXN386,TXN387,TXN388,TXN389,TXN390,TXN391,TXN392,TXN393,TXN394,TXN395,TXN396,TXN397,TXN398,TXN399,TXN400,TXN40"&amp;"1,TXN402,TXN403,TXN404,TXN405,TXN406,TXN407,TXN408,TXN409,TXN410,TXN411,TXN412,TXN413,TXN414,TXN415,TXN416,TXN417,TXN418,TXN419,TXN420,TXN421,TXN422,TXN423,TXN424,TXN425,TXN426,TXN427,TXN428,TXN429,TXN430,TXN431,TXN432,TXN433,TXN434,TXN435,TXN436,TXN437,T"&amp;"XN438,TXN439,TXN440,TXN441,TXN442,TXN443,TXN444,TXN445,TXN446,TXN447,TXN448,TXN449,TXN450,TXN451,TXN452,TXN453,TXN454,TXN455,TXN456,TXN457,TXN458,TXN459,TXN460,TXN461,TXN462,TXN463,TXN464,TXN465,TXN466,TXN467,TXN468,TXN469,TXN470,TXN471,TXN472,TXN473,TXN4"&amp;"74,TXN475,TXN476,TXN477,TXN478,TXN479,TXN480,TXN481,TXN482,TXN483,TXN484,TXN485,TXN486,TXN487,TXN488,TXN489,TXN490,TXN491,TXN492,TXN493,TXN494,TXN495,TXN496,TXN497,TXN498,TXN499,TXN500"</formula1>
    </dataValidation>
    <dataValidation type="list" allowBlank="1" showDropDown="1" showErrorMessage="1" sqref="H2:H501" xr:uid="{2C682D94-6D47-42C3-A466-74BF31198376}">
      <formula1>"TechMart Inc.,CloudSoft Corp.,FurniWorks Ltd.,OfficeSupplies Co.,QuickDeliver Ltd."</formula1>
    </dataValidation>
    <dataValidation type="list" allowBlank="1" showDropDown="1" showErrorMessage="1" sqref="I2:I501" xr:uid="{5FF00C3C-AE5C-4EE4-9061-6D64805B992D}">
      <formula1>"Kelly Joseph,Luis Holland,Cynthia Jenkins,Stephanie Bennett,Todd James,Aaron Hopkins,Kevin Adams,Walter Pena,Jasmine Mcgee,Dawn Padilla,Amy Warner,Lisa Parks,Kayla Hanson,Rebecca Bell,Laura White,Jessica Hodges,Nicole Clay,Noah Long,Melissa Mckee,Barry Jo"&amp;"hnson"</formula1>
    </dataValidation>
    <dataValidation type="custom" allowBlank="1" showDropDown="1" sqref="D2:F501" xr:uid="{714A4087-DF3A-467D-B6C6-E2B94F077C46}">
      <formula1>AND(ISNUMBER(D2),(NOT(OR(NOT(ISERROR(DATEVALUE(D2))), AND(ISNUMBER(D2), LEFT(CELL("format", D2))="D")))))</formula1>
    </dataValidation>
    <dataValidation type="custom" allowBlank="1" showDropDown="1" sqref="G2:G501" xr:uid="{93697FFB-3722-4D70-97A0-02D43D62ABAF}">
      <formula1>OR(NOT(ISERROR(DATEVALUE(G2))), AND(ISNUMBER(G2), LEFT(CELL("format", G2))="D"))</formula1>
    </dataValidation>
    <dataValidation type="list" allowBlank="1" showDropDown="1" showErrorMessage="1" sqref="C2:C501" xr:uid="{09827640-179F-400E-BD11-1563C7EED085}">
      <formula1>"Furniture,Office Supplies,Software,Stationery,Electronics,Accessories"</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Analysis</vt:lpstr>
      <vt:lpstr>SalesDashboardDatasets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deepshika tyagi</cp:lastModifiedBy>
  <dcterms:created xsi:type="dcterms:W3CDTF">2026-05-12T11:34:43Z</dcterms:created>
  <dcterms:modified xsi:type="dcterms:W3CDTF">2026-05-22T07:30:51Z</dcterms:modified>
</cp:coreProperties>
</file>